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victoria/Downloads/"/>
    </mc:Choice>
  </mc:AlternateContent>
  <xr:revisionPtr revIDLastSave="0" documentId="8_{4FA039F9-8019-0B4C-B337-0B9A90F17970}" xr6:coauthVersionLast="47" xr6:coauthVersionMax="47" xr10:uidLastSave="{00000000-0000-0000-0000-000000000000}"/>
  <bookViews>
    <workbookView xWindow="0" yWindow="0" windowWidth="28800" windowHeight="18000" xr2:uid="{BD718E2C-7E40-1D4F-B853-64F4CEE7E29E}"/>
  </bookViews>
  <sheets>
    <sheet name="Transaction Hedging (Receivable" sheetId="1" r:id="rId1"/>
  </sheets>
  <externalReferences>
    <externalReference r:id="rId2"/>
  </externalReferences>
  <definedNames>
    <definedName name="call_price">'[1]Transaction Hedging (Payables)'!$F$15</definedName>
    <definedName name="call_strike">'[1]Transaction Hedging (Payables)'!$F$14</definedName>
    <definedName name="contract_notional_value_payable">'[1]Transaction Hedging (Payables)'!$F$6</definedName>
    <definedName name="current_spot_price_payable">'[1]Transaction Hedging (Payables)'!$F$7</definedName>
    <definedName name="for_GBPUSD">'Transaction Hedging (Receivable'!$F$12</definedName>
    <definedName name="forward_price_payable">'[1]Transaction Hedging (Payables)'!$F$12</definedName>
    <definedName name="future_spot_price_payable">'[1]Transaction Hedging (Payables)'!$C$35:$C$47</definedName>
    <definedName name="fv_put_outlay">'Transaction Hedging (Receivable'!$F$28</definedName>
    <definedName name="gbpusd_1y_scenario">'Transaction Hedging (Receivable'!$C$33:$C$45</definedName>
    <definedName name="hedge_no">'Transaction Hedging (Receivable'!$D$33:$D$45</definedName>
    <definedName name="put_price">'Transaction Hedging (Receivable'!$F$15</definedName>
    <definedName name="rate_uk_1y_payable">'[1]Transaction Hedging (Payables)'!$F$10</definedName>
    <definedName name="rate_us_1y_payable">'[1]Transaction Hedging (Payables)'!$F$9</definedName>
    <definedName name="recievable">'Transaction Hedging (Receivable'!$F$6</definedName>
    <definedName name="x_put">'Transaction Hedging (Receivable'!$F$14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1" l="1"/>
  <c r="F21" i="1"/>
  <c r="F22" i="1" s="1"/>
  <c r="F23" i="1" s="1"/>
  <c r="F24" i="1" s="1"/>
  <c r="F27" i="1"/>
  <c r="F28" i="1" s="1"/>
  <c r="G27" i="1"/>
  <c r="C38" i="1"/>
  <c r="C37" i="1" s="1"/>
  <c r="H38" i="1"/>
  <c r="D39" i="1"/>
  <c r="E39" i="1" s="1"/>
  <c r="H39" i="1"/>
  <c r="C40" i="1"/>
  <c r="H40" i="1" s="1"/>
  <c r="C41" i="1"/>
  <c r="D41" i="1" s="1"/>
  <c r="D37" i="1" l="1"/>
  <c r="H37" i="1"/>
  <c r="C36" i="1"/>
  <c r="J42" i="1"/>
  <c r="J38" i="1"/>
  <c r="J39" i="1"/>
  <c r="G39" i="1" s="1"/>
  <c r="J40" i="1"/>
  <c r="J36" i="1"/>
  <c r="J37" i="1"/>
  <c r="J41" i="1"/>
  <c r="E41" i="1"/>
  <c r="G41" i="1"/>
  <c r="I38" i="1"/>
  <c r="F40" i="1"/>
  <c r="F44" i="1"/>
  <c r="I40" i="1"/>
  <c r="F36" i="1"/>
  <c r="I39" i="1"/>
  <c r="F41" i="1"/>
  <c r="F45" i="1"/>
  <c r="F37" i="1"/>
  <c r="F42" i="1"/>
  <c r="F38" i="1"/>
  <c r="I41" i="1"/>
  <c r="F33" i="1"/>
  <c r="F34" i="1"/>
  <c r="I37" i="1"/>
  <c r="F39" i="1"/>
  <c r="F43" i="1"/>
  <c r="F35" i="1"/>
  <c r="D40" i="1"/>
  <c r="H41" i="1"/>
  <c r="C42" i="1"/>
  <c r="D38" i="1"/>
  <c r="K39" i="1" l="1"/>
  <c r="H36" i="1"/>
  <c r="C35" i="1"/>
  <c r="D36" i="1"/>
  <c r="L41" i="1"/>
  <c r="K41" i="1"/>
  <c r="E38" i="1"/>
  <c r="G38" i="1"/>
  <c r="D42" i="1"/>
  <c r="C43" i="1"/>
  <c r="H42" i="1"/>
  <c r="G40" i="1"/>
  <c r="E40" i="1"/>
  <c r="E37" i="1"/>
  <c r="G37" i="1"/>
  <c r="L39" i="1"/>
  <c r="K40" i="1" l="1"/>
  <c r="L40" i="1"/>
  <c r="E42" i="1"/>
  <c r="G42" i="1"/>
  <c r="I42" i="1"/>
  <c r="K38" i="1"/>
  <c r="L38" i="1"/>
  <c r="K37" i="1"/>
  <c r="L37" i="1"/>
  <c r="E36" i="1"/>
  <c r="G36" i="1"/>
  <c r="I36" i="1"/>
  <c r="H35" i="1"/>
  <c r="C34" i="1"/>
  <c r="D35" i="1"/>
  <c r="J35" i="1"/>
  <c r="H43" i="1"/>
  <c r="D43" i="1"/>
  <c r="C44" i="1"/>
  <c r="J43" i="1"/>
  <c r="G35" i="1" l="1"/>
  <c r="E35" i="1"/>
  <c r="I35" i="1"/>
  <c r="H44" i="1"/>
  <c r="C45" i="1"/>
  <c r="D44" i="1"/>
  <c r="J44" i="1"/>
  <c r="K42" i="1"/>
  <c r="L42" i="1"/>
  <c r="E43" i="1"/>
  <c r="G43" i="1"/>
  <c r="I43" i="1"/>
  <c r="L36" i="1"/>
  <c r="K36" i="1"/>
  <c r="C33" i="1"/>
  <c r="D34" i="1"/>
  <c r="H34" i="1"/>
  <c r="J34" i="1"/>
  <c r="E34" i="1" l="1"/>
  <c r="G34" i="1"/>
  <c r="I34" i="1"/>
  <c r="K43" i="1"/>
  <c r="L43" i="1"/>
  <c r="K35" i="1"/>
  <c r="L35" i="1"/>
  <c r="D33" i="1"/>
  <c r="H33" i="1"/>
  <c r="J33" i="1"/>
  <c r="G44" i="1"/>
  <c r="E44" i="1"/>
  <c r="I44" i="1"/>
  <c r="D45" i="1"/>
  <c r="H45" i="1"/>
  <c r="J45" i="1"/>
  <c r="K44" i="1" l="1"/>
  <c r="L44" i="1"/>
  <c r="G33" i="1"/>
  <c r="E33" i="1"/>
  <c r="I33" i="1"/>
  <c r="E45" i="1"/>
  <c r="G45" i="1"/>
  <c r="I45" i="1"/>
  <c r="L34" i="1"/>
  <c r="K34" i="1"/>
  <c r="F29" i="1" l="1"/>
  <c r="L45" i="1"/>
  <c r="K45" i="1"/>
  <c r="K33" i="1"/>
  <c r="L33" i="1"/>
</calcChain>
</file>

<file path=xl/sharedStrings.xml><?xml version="1.0" encoding="utf-8"?>
<sst xmlns="http://schemas.openxmlformats.org/spreadsheetml/2006/main" count="50" uniqueCount="44">
  <si>
    <t xml:space="preserve"> </t>
  </si>
  <si>
    <t>&lt;-- Better (GBP appreciates)</t>
  </si>
  <si>
    <t>&lt;-- baseline</t>
  </si>
  <si>
    <t>&lt;-- Worse (GBP depreciates)</t>
  </si>
  <si>
    <t>Future Spot Price</t>
  </si>
  <si>
    <t>of Hedges</t>
  </si>
  <si>
    <t>of Hedge / No Hedge</t>
  </si>
  <si>
    <t>3. Option Hedge</t>
  </si>
  <si>
    <t>2. Money Market Hedge</t>
  </si>
  <si>
    <t>1. Forward Hedge
(F - St) x Notional Value</t>
  </si>
  <si>
    <t>1. Forward Hedge</t>
  </si>
  <si>
    <t>0. No Hedge</t>
  </si>
  <si>
    <t>Winner</t>
  </si>
  <si>
    <t>Hedge Profit (Loss) vs. No Hedge</t>
  </si>
  <si>
    <t>In one year, we receive</t>
  </si>
  <si>
    <t>GBP/USD
Spot Exchange Rate
(scenarios in 1 year)</t>
  </si>
  <si>
    <t>&lt;-- LOWEST: variable amount depends on where GBP/USD spot ends up in 1 year</t>
  </si>
  <si>
    <t>[b] Determine 1-year future value equivalent of [a]</t>
  </si>
  <si>
    <r>
      <rPr>
        <sz val="18"/>
        <color theme="1"/>
        <rFont val="Arial"/>
        <family val="2"/>
      </rPr>
      <t xml:space="preserve">[a] Buy </t>
    </r>
    <r>
      <rPr>
        <b/>
        <sz val="18"/>
        <color theme="1"/>
        <rFont val="Arial"/>
        <family val="2"/>
      </rPr>
      <t>puts</t>
    </r>
  </si>
  <si>
    <t xml:space="preserve">&lt;-- LOCKED IN: in one year we will have this amount </t>
  </si>
  <si>
    <t>[c] Invest [b] at the prevailing domestic interest rate</t>
  </si>
  <si>
    <t>[b] Convert [a] into domestic at the current spot exchange</t>
  </si>
  <si>
    <t>[a] Borrow the discounted present value of the foreign receivable</t>
  </si>
  <si>
    <r>
      <rPr>
        <sz val="18"/>
        <color theme="1"/>
        <rFont val="Arial"/>
        <family val="2"/>
      </rPr>
      <t xml:space="preserve">[a] </t>
    </r>
    <r>
      <rPr>
        <b/>
        <sz val="18"/>
        <color theme="1"/>
        <rFont val="Arial"/>
        <family val="2"/>
      </rPr>
      <t>Sell</t>
    </r>
    <r>
      <rPr>
        <sz val="18"/>
        <color theme="1"/>
        <rFont val="Arial"/>
        <family val="2"/>
      </rPr>
      <t xml:space="preserve"> GBP/USD 1-Year Forward</t>
    </r>
  </si>
  <si>
    <t>GBP/USD Put Price</t>
  </si>
  <si>
    <t>GBP/USD Put Strike Price</t>
  </si>
  <si>
    <t>Options</t>
  </si>
  <si>
    <t>GBP/USD 1-Year Forward Exchange Rate</t>
  </si>
  <si>
    <t>Notes</t>
  </si>
  <si>
    <t>Forwards</t>
  </si>
  <si>
    <t>U.K. 1-Year Interest Rate (foreign)</t>
  </si>
  <si>
    <t>Outputs / summary KPIs</t>
  </si>
  <si>
    <t>U.S. 1-Year Interest Rate (domestic)</t>
  </si>
  <si>
    <t>Formulas / intermediate steps</t>
  </si>
  <si>
    <t>Money Market</t>
  </si>
  <si>
    <t>Assumptions</t>
  </si>
  <si>
    <t>Current GBP/USD Spot Exchange Rate</t>
  </si>
  <si>
    <t xml:space="preserve">Inputs / editable variables    </t>
  </si>
  <si>
    <t>1-Year Receivable</t>
  </si>
  <si>
    <t>Key</t>
  </si>
  <si>
    <t xml:space="preserve">Variables </t>
  </si>
  <si>
    <t>Given</t>
  </si>
  <si>
    <t>$4,500,000 receivable in 1 year</t>
  </si>
  <si>
    <r>
      <rPr>
        <b/>
        <sz val="18"/>
        <color theme="1"/>
        <rFont val="Arial"/>
        <family val="2"/>
      </rPr>
      <t xml:space="preserve">Hedging Foreign Currency </t>
    </r>
    <r>
      <rPr>
        <b/>
        <u/>
        <sz val="18"/>
        <color theme="1"/>
        <rFont val="Arial"/>
        <family val="2"/>
      </rPr>
      <t>Receivables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</si>
</sst>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"/>
    <numFmt numFmtId="165" formatCode="&quot;$&quot;#,##0.00"/>
    <numFmt numFmtId="166" formatCode="[$£]#,##0"/>
  </numFmts>
  <fonts count="13" x14ac:knownFonts="1">
    <font>
      <sz val="10"/>
      <color rgb="FF000000"/>
      <name val="Arial"/>
      <family val="2"/>
      <scheme val="minor"/>
    </font>
    <font>
      <sz val="18"/>
      <color theme="1"/>
      <name val="Arial"/>
      <family val="2"/>
      <scheme val="minor"/>
    </font>
    <font>
      <sz val="18"/>
      <color rgb="FF0000FF"/>
      <name val="Arial"/>
      <family val="2"/>
      <scheme val="minor"/>
    </font>
    <font>
      <sz val="10"/>
      <name val="Arial"/>
      <family val="2"/>
    </font>
    <font>
      <b/>
      <sz val="18"/>
      <color theme="1"/>
      <name val="Arial"/>
      <family val="2"/>
      <scheme val="minor"/>
    </font>
    <font>
      <sz val="22"/>
      <color theme="1"/>
      <name val="Arial"/>
      <family val="2"/>
      <scheme val="minor"/>
    </font>
    <font>
      <b/>
      <sz val="18"/>
      <color rgb="FF0000FF"/>
      <name val="Arial"/>
      <family val="2"/>
      <scheme val="minor"/>
    </font>
    <font>
      <sz val="18"/>
      <color theme="1"/>
      <name val="Arial"/>
      <family val="2"/>
    </font>
    <font>
      <b/>
      <sz val="18"/>
      <color theme="1"/>
      <name val="Arial"/>
      <family val="2"/>
    </font>
    <font>
      <u/>
      <sz val="18"/>
      <color theme="1"/>
      <name val="Arial"/>
      <family val="2"/>
      <scheme val="minor"/>
    </font>
    <font>
      <b/>
      <sz val="18"/>
      <color theme="1"/>
      <name val="Arial (Body)"/>
    </font>
    <font>
      <b/>
      <sz val="18"/>
      <color rgb="FF000000"/>
      <name val="Inconsolata"/>
    </font>
    <font>
      <b/>
      <u/>
      <sz val="18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6" tint="0.79998168889431442"/>
        <bgColor rgb="FFEAD1DC"/>
      </patternFill>
    </fill>
    <fill>
      <patternFill patternType="solid">
        <fgColor theme="4" tint="0.79998168889431442"/>
        <bgColor rgb="FFEAD1D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rgb="FFFFFF00"/>
      </patternFill>
    </fill>
  </fills>
  <borders count="6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medium">
        <color rgb="FF000000"/>
      </right>
      <top style="thin">
        <color rgb="FFFFFFFF"/>
      </top>
      <bottom style="medium">
        <color rgb="FF000000"/>
      </bottom>
      <diagonal/>
    </border>
    <border>
      <left/>
      <right style="thin">
        <color rgb="FFFFFFFF"/>
      </right>
      <top style="thin">
        <color rgb="FFFFFFFF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FFFFFF"/>
      </top>
      <bottom style="medium">
        <color rgb="FF000000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 style="thin">
        <color rgb="FFFFFFFF"/>
      </left>
      <right style="medium">
        <color rgb="FF000000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medium">
        <color rgb="FF000000"/>
      </right>
      <top style="medium">
        <color rgb="FF000000"/>
      </top>
      <bottom style="thin">
        <color rgb="FFFFFFFF"/>
      </bottom>
      <diagonal/>
    </border>
    <border>
      <left/>
      <right style="thin">
        <color rgb="FFFFFFFF"/>
      </right>
      <top style="medium">
        <color rgb="FF000000"/>
      </top>
      <bottom style="thin">
        <color rgb="FFFFFFFF"/>
      </bottom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 style="thin">
        <color rgb="FF000000"/>
      </right>
      <top style="thin">
        <color rgb="FFFFFFFF"/>
      </top>
      <bottom/>
      <diagonal/>
    </border>
    <border>
      <left style="thin">
        <color rgb="FF000000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000000"/>
      </right>
      <top style="thin">
        <color rgb="FF000000"/>
      </top>
      <bottom style="thin">
        <color rgb="FFFFFFFF"/>
      </bottom>
      <diagonal/>
    </border>
    <border>
      <left style="thin">
        <color rgb="FF000000"/>
      </left>
      <right/>
      <top style="thin">
        <color rgb="FF000000"/>
      </top>
      <bottom style="thin">
        <color rgb="FFFFFFFF"/>
      </bottom>
      <diagonal/>
    </border>
    <border>
      <left/>
      <right/>
      <top style="thin">
        <color rgb="FF000000"/>
      </top>
      <bottom style="thin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 style="dotted">
        <color rgb="FF000000"/>
      </right>
      <top style="thin">
        <color rgb="FFFFFFFF"/>
      </top>
      <bottom style="dotted">
        <color rgb="FF000000"/>
      </bottom>
      <diagonal/>
    </border>
    <border>
      <left/>
      <right/>
      <top style="thin">
        <color rgb="FFFFFFFF"/>
      </top>
      <bottom style="dotted">
        <color rgb="FF000000"/>
      </bottom>
      <diagonal/>
    </border>
    <border>
      <left style="thin">
        <color rgb="FFFFFFFF"/>
      </left>
      <right/>
      <top style="thin">
        <color rgb="FFFFFFFF"/>
      </top>
      <bottom style="dotted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dotted">
        <color rgb="FF000000"/>
      </bottom>
      <diagonal/>
    </border>
    <border>
      <left style="dotted">
        <color rgb="FF000000"/>
      </left>
      <right style="thin">
        <color rgb="FFFFFFFF"/>
      </right>
      <top style="thin">
        <color rgb="FFFFFFFF"/>
      </top>
      <bottom style="dotted">
        <color rgb="FF000000"/>
      </bottom>
      <diagonal/>
    </border>
    <border>
      <left style="thin">
        <color rgb="FFFFFFFF"/>
      </left>
      <right style="dotted">
        <color rgb="FF000000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dotted">
        <color rgb="FF000000"/>
      </left>
      <right/>
      <top style="thin">
        <color rgb="FFFFFFFF"/>
      </top>
      <bottom style="thin">
        <color rgb="FFFFFFFF"/>
      </bottom>
      <diagonal/>
    </border>
    <border>
      <left/>
      <right style="dotted">
        <color rgb="FF000000"/>
      </right>
      <top style="dotted">
        <color rgb="FF000000"/>
      </top>
      <bottom style="thin">
        <color rgb="FFFFFFFF"/>
      </bottom>
      <diagonal/>
    </border>
    <border>
      <left/>
      <right/>
      <top style="dotted">
        <color rgb="FF000000"/>
      </top>
      <bottom style="thin">
        <color rgb="FFFFFFFF"/>
      </bottom>
      <diagonal/>
    </border>
    <border>
      <left style="dotted">
        <color rgb="FF000000"/>
      </left>
      <right/>
      <top style="dotted">
        <color rgb="FF000000"/>
      </top>
      <bottom style="thin">
        <color rgb="FFFFFFFF"/>
      </bottom>
      <diagonal/>
    </border>
    <border>
      <left/>
      <right style="dotted">
        <color rgb="FF000000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dotted">
        <color rgb="FF000000"/>
      </bottom>
      <diagonal/>
    </border>
    <border>
      <left style="dotted">
        <color rgb="FF000000"/>
      </left>
      <right/>
      <top style="thin">
        <color rgb="FFFFFFFF"/>
      </top>
      <bottom style="dotted">
        <color rgb="FF000000"/>
      </bottom>
      <diagonal/>
    </border>
    <border>
      <left style="thin">
        <color rgb="FFFFFFFF"/>
      </left>
      <right style="thick">
        <color rgb="FF000000"/>
      </right>
      <top style="thin">
        <color rgb="FFFFFFFF"/>
      </top>
      <bottom style="thick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ck">
        <color rgb="FF000000"/>
      </bottom>
      <diagonal/>
    </border>
    <border>
      <left style="thick">
        <color rgb="FF000000"/>
      </left>
      <right style="thin">
        <color rgb="FFFFFFFF"/>
      </right>
      <top style="thin">
        <color rgb="FFFFFFFF"/>
      </top>
      <bottom style="thick">
        <color rgb="FF000000"/>
      </bottom>
      <diagonal/>
    </border>
    <border>
      <left style="thin">
        <color rgb="FFFFFFFF"/>
      </left>
      <right style="thick">
        <color rgb="FF000000"/>
      </right>
      <top style="thin">
        <color rgb="FFFFFFFF"/>
      </top>
      <bottom style="thin">
        <color rgb="FFFFFFFF"/>
      </bottom>
      <diagonal/>
    </border>
    <border>
      <left style="thick">
        <color rgb="FF000000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FFFFFF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rgb="FFFFFF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rgb="FF000000"/>
      </left>
      <right style="thin">
        <color indexed="64"/>
      </right>
      <top style="thin">
        <color rgb="FFFFFFFF"/>
      </top>
      <bottom/>
      <diagonal/>
    </border>
    <border>
      <left/>
      <right style="thick">
        <color rgb="FF000000"/>
      </right>
      <top style="thick">
        <color rgb="FF000000"/>
      </top>
      <bottom style="thin">
        <color rgb="FFFFFFFF"/>
      </bottom>
      <diagonal/>
    </border>
    <border>
      <left/>
      <right/>
      <top style="thick">
        <color rgb="FF000000"/>
      </top>
      <bottom style="thin">
        <color rgb="FFFFFFFF"/>
      </bottom>
      <diagonal/>
    </border>
    <border>
      <left style="thick">
        <color rgb="FF000000"/>
      </left>
      <right/>
      <top style="thick">
        <color rgb="FF000000"/>
      </top>
      <bottom style="thin">
        <color rgb="FFFFFF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1" fillId="0" borderId="1" xfId="0" applyFont="1" applyBorder="1" applyAlignment="1">
      <alignment vertical="top"/>
    </xf>
    <xf numFmtId="0" fontId="1" fillId="0" borderId="0" xfId="0" applyFont="1" applyAlignment="1">
      <alignment vertical="top"/>
    </xf>
    <xf numFmtId="0" fontId="1" fillId="0" borderId="2" xfId="0" applyFont="1" applyBorder="1" applyAlignment="1">
      <alignment vertical="top"/>
    </xf>
    <xf numFmtId="0" fontId="1" fillId="0" borderId="3" xfId="0" applyFont="1" applyBorder="1" applyAlignment="1">
      <alignment vertical="top"/>
    </xf>
    <xf numFmtId="164" fontId="2" fillId="0" borderId="4" xfId="0" applyNumberFormat="1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164" fontId="2" fillId="2" borderId="6" xfId="0" applyNumberFormat="1" applyFont="1" applyFill="1" applyBorder="1" applyAlignment="1">
      <alignment vertical="top"/>
    </xf>
    <xf numFmtId="164" fontId="2" fillId="2" borderId="7" xfId="0" applyNumberFormat="1" applyFont="1" applyFill="1" applyBorder="1" applyAlignment="1">
      <alignment vertical="top"/>
    </xf>
    <xf numFmtId="164" fontId="2" fillId="2" borderId="8" xfId="0" applyNumberFormat="1" applyFont="1" applyFill="1" applyBorder="1" applyAlignment="1">
      <alignment vertical="top"/>
    </xf>
    <xf numFmtId="164" fontId="2" fillId="0" borderId="9" xfId="0" applyNumberFormat="1" applyFont="1" applyBorder="1"/>
    <xf numFmtId="164" fontId="2" fillId="0" borderId="7" xfId="0" applyNumberFormat="1" applyFont="1" applyBorder="1"/>
    <xf numFmtId="164" fontId="2" fillId="0" borderId="7" xfId="0" applyNumberFormat="1" applyFont="1" applyBorder="1" applyAlignment="1">
      <alignment vertical="top"/>
    </xf>
    <xf numFmtId="164" fontId="2" fillId="0" borderId="8" xfId="0" applyNumberFormat="1" applyFont="1" applyBorder="1" applyAlignment="1">
      <alignment vertical="top"/>
    </xf>
    <xf numFmtId="165" fontId="1" fillId="3" borderId="10" xfId="0" applyNumberFormat="1" applyFont="1" applyFill="1" applyBorder="1" applyAlignment="1">
      <alignment vertical="top"/>
    </xf>
    <xf numFmtId="0" fontId="3" fillId="0" borderId="11" xfId="0" applyFont="1" applyBorder="1"/>
    <xf numFmtId="0" fontId="4" fillId="0" borderId="0" xfId="0" applyFont="1" applyAlignment="1">
      <alignment horizontal="center" vertical="center" textRotation="90"/>
    </xf>
    <xf numFmtId="164" fontId="2" fillId="0" borderId="12" xfId="0" applyNumberFormat="1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164" fontId="2" fillId="2" borderId="0" xfId="0" applyNumberFormat="1" applyFont="1" applyFill="1" applyAlignment="1">
      <alignment vertical="top"/>
    </xf>
    <xf numFmtId="164" fontId="2" fillId="2" borderId="13" xfId="0" applyNumberFormat="1" applyFont="1" applyFill="1" applyBorder="1" applyAlignment="1">
      <alignment vertical="top"/>
    </xf>
    <xf numFmtId="164" fontId="2" fillId="0" borderId="14" xfId="0" applyNumberFormat="1" applyFont="1" applyBorder="1"/>
    <xf numFmtId="164" fontId="2" fillId="0" borderId="0" xfId="0" applyNumberFormat="1" applyFont="1"/>
    <xf numFmtId="164" fontId="2" fillId="0" borderId="0" xfId="0" applyNumberFormat="1" applyFont="1" applyAlignment="1">
      <alignment vertical="top"/>
    </xf>
    <xf numFmtId="164" fontId="2" fillId="0" borderId="13" xfId="0" applyNumberFormat="1" applyFont="1" applyBorder="1" applyAlignment="1">
      <alignment vertical="top"/>
    </xf>
    <xf numFmtId="165" fontId="1" fillId="3" borderId="15" xfId="0" applyNumberFormat="1" applyFont="1" applyFill="1" applyBorder="1" applyAlignment="1">
      <alignment vertical="top"/>
    </xf>
    <xf numFmtId="0" fontId="3" fillId="0" borderId="16" xfId="0" applyFont="1" applyBorder="1"/>
    <xf numFmtId="0" fontId="2" fillId="0" borderId="12" xfId="0" applyFont="1" applyBorder="1" applyAlignment="1">
      <alignment horizontal="center" vertical="top"/>
    </xf>
    <xf numFmtId="0" fontId="5" fillId="0" borderId="3" xfId="0" applyFont="1" applyBorder="1" applyAlignment="1">
      <alignment vertical="top"/>
    </xf>
    <xf numFmtId="0" fontId="2" fillId="0" borderId="17" xfId="0" applyFont="1" applyBorder="1" applyAlignment="1">
      <alignment horizontal="center" vertical="top"/>
    </xf>
    <xf numFmtId="0" fontId="2" fillId="0" borderId="18" xfId="0" applyFont="1" applyBorder="1" applyAlignment="1">
      <alignment horizontal="center" vertical="top"/>
    </xf>
    <xf numFmtId="164" fontId="2" fillId="2" borderId="19" xfId="0" applyNumberFormat="1" applyFont="1" applyFill="1" applyBorder="1" applyAlignment="1">
      <alignment vertical="top"/>
    </xf>
    <xf numFmtId="164" fontId="2" fillId="2" borderId="20" xfId="0" applyNumberFormat="1" applyFont="1" applyFill="1" applyBorder="1" applyAlignment="1">
      <alignment vertical="top"/>
    </xf>
    <xf numFmtId="164" fontId="2" fillId="0" borderId="6" xfId="0" applyNumberFormat="1" applyFont="1" applyBorder="1"/>
    <xf numFmtId="164" fontId="2" fillId="0" borderId="19" xfId="0" applyNumberFormat="1" applyFont="1" applyBorder="1"/>
    <xf numFmtId="164" fontId="2" fillId="0" borderId="19" xfId="0" applyNumberFormat="1" applyFont="1" applyBorder="1" applyAlignment="1">
      <alignment vertical="top"/>
    </xf>
    <xf numFmtId="164" fontId="2" fillId="0" borderId="20" xfId="0" applyNumberFormat="1" applyFont="1" applyBorder="1" applyAlignment="1">
      <alignment vertical="top"/>
    </xf>
    <xf numFmtId="165" fontId="1" fillId="3" borderId="21" xfId="0" applyNumberFormat="1" applyFont="1" applyFill="1" applyBorder="1" applyAlignment="1">
      <alignment vertical="top"/>
    </xf>
    <xf numFmtId="0" fontId="4" fillId="0" borderId="22" xfId="0" applyFont="1" applyBorder="1" applyAlignment="1">
      <alignment horizontal="center" vertical="center" textRotation="90"/>
    </xf>
    <xf numFmtId="0" fontId="4" fillId="0" borderId="23" xfId="0" applyFont="1" applyBorder="1" applyAlignment="1">
      <alignment horizontal="center" vertical="top"/>
    </xf>
    <xf numFmtId="0" fontId="4" fillId="0" borderId="24" xfId="0" applyFont="1" applyBorder="1" applyAlignment="1">
      <alignment horizontal="center" vertical="top"/>
    </xf>
    <xf numFmtId="164" fontId="4" fillId="2" borderId="23" xfId="0" applyNumberFormat="1" applyFont="1" applyFill="1" applyBorder="1" applyAlignment="1">
      <alignment horizontal="center" vertical="top"/>
    </xf>
    <xf numFmtId="0" fontId="4" fillId="2" borderId="0" xfId="0" applyFont="1" applyFill="1" applyAlignment="1">
      <alignment horizontal="center" vertical="top"/>
    </xf>
    <xf numFmtId="164" fontId="4" fillId="2" borderId="24" xfId="0" applyNumberFormat="1" applyFont="1" applyFill="1" applyBorder="1" applyAlignment="1">
      <alignment horizontal="center" vertical="top"/>
    </xf>
    <xf numFmtId="164" fontId="4" fillId="0" borderId="23" xfId="0" applyNumberFormat="1" applyFont="1" applyBorder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4" fillId="0" borderId="25" xfId="0" applyFont="1" applyBorder="1" applyAlignment="1">
      <alignment horizontal="center" vertical="top"/>
    </xf>
    <xf numFmtId="0" fontId="3" fillId="0" borderId="26" xfId="0" applyFont="1" applyBorder="1"/>
    <xf numFmtId="0" fontId="1" fillId="0" borderId="27" xfId="0" applyFont="1" applyBorder="1" applyAlignment="1">
      <alignment vertical="top"/>
    </xf>
    <xf numFmtId="0" fontId="3" fillId="0" borderId="28" xfId="0" applyFont="1" applyBorder="1"/>
    <xf numFmtId="0" fontId="4" fillId="0" borderId="29" xfId="0" applyFont="1" applyBorder="1" applyAlignment="1">
      <alignment horizontal="center" vertical="top"/>
    </xf>
    <xf numFmtId="0" fontId="3" fillId="0" borderId="30" xfId="0" applyFont="1" applyBorder="1"/>
    <xf numFmtId="0" fontId="4" fillId="2" borderId="29" xfId="0" applyFont="1" applyFill="1" applyBorder="1" applyAlignment="1">
      <alignment horizontal="center" vertical="top"/>
    </xf>
    <xf numFmtId="0" fontId="4" fillId="3" borderId="31" xfId="0" applyFont="1" applyFill="1" applyBorder="1" applyAlignment="1">
      <alignment horizontal="center" vertical="top"/>
    </xf>
    <xf numFmtId="164" fontId="1" fillId="0" borderId="32" xfId="0" applyNumberFormat="1" applyFont="1" applyBorder="1" applyAlignment="1">
      <alignment vertical="top"/>
    </xf>
    <xf numFmtId="0" fontId="1" fillId="0" borderId="32" xfId="0" applyFont="1" applyBorder="1" applyAlignment="1">
      <alignment vertical="top"/>
    </xf>
    <xf numFmtId="0" fontId="3" fillId="0" borderId="33" xfId="0" applyFont="1" applyBorder="1"/>
    <xf numFmtId="0" fontId="3" fillId="0" borderId="34" xfId="0" applyFont="1" applyBorder="1"/>
    <xf numFmtId="0" fontId="4" fillId="0" borderId="35" xfId="0" applyFont="1" applyBorder="1" applyAlignment="1">
      <alignment vertical="top"/>
    </xf>
    <xf numFmtId="164" fontId="6" fillId="4" borderId="36" xfId="0" applyNumberFormat="1" applyFont="1" applyFill="1" applyBorder="1" applyAlignment="1">
      <alignment horizontal="right" vertical="top"/>
    </xf>
    <xf numFmtId="0" fontId="1" fillId="0" borderId="36" xfId="0" applyFont="1" applyBorder="1" applyAlignment="1">
      <alignment vertical="top"/>
    </xf>
    <xf numFmtId="0" fontId="1" fillId="0" borderId="37" xfId="0" applyFont="1" applyBorder="1" applyAlignment="1">
      <alignment vertical="top"/>
    </xf>
    <xf numFmtId="0" fontId="1" fillId="0" borderId="38" xfId="0" applyFont="1" applyBorder="1" applyAlignment="1">
      <alignment vertical="top"/>
    </xf>
    <xf numFmtId="0" fontId="1" fillId="0" borderId="1" xfId="0" applyFont="1" applyBorder="1"/>
    <xf numFmtId="164" fontId="2" fillId="5" borderId="1" xfId="0" applyNumberFormat="1" applyFont="1" applyFill="1" applyBorder="1" applyAlignment="1">
      <alignment vertical="top"/>
    </xf>
    <xf numFmtId="0" fontId="3" fillId="0" borderId="3" xfId="0" applyFont="1" applyBorder="1"/>
    <xf numFmtId="0" fontId="3" fillId="0" borderId="39" xfId="0" applyFont="1" applyBorder="1"/>
    <xf numFmtId="0" fontId="1" fillId="0" borderId="40" xfId="0" applyFont="1" applyBorder="1" applyAlignment="1">
      <alignment vertical="top"/>
    </xf>
    <xf numFmtId="0" fontId="3" fillId="0" borderId="41" xfId="0" applyFont="1" applyBorder="1"/>
    <xf numFmtId="0" fontId="3" fillId="0" borderId="42" xfId="0" applyFont="1" applyBorder="1"/>
    <xf numFmtId="0" fontId="4" fillId="3" borderId="43" xfId="0" applyFont="1" applyFill="1" applyBorder="1" applyAlignment="1">
      <alignment vertical="top"/>
    </xf>
    <xf numFmtId="164" fontId="6" fillId="4" borderId="36" xfId="0" applyNumberFormat="1" applyFont="1" applyFill="1" applyBorder="1" applyAlignment="1">
      <alignment vertical="top"/>
    </xf>
    <xf numFmtId="0" fontId="4" fillId="6" borderId="36" xfId="0" applyFont="1" applyFill="1" applyBorder="1" applyAlignment="1">
      <alignment vertical="top"/>
    </xf>
    <xf numFmtId="0" fontId="3" fillId="0" borderId="44" xfId="0" applyFont="1" applyBorder="1"/>
    <xf numFmtId="0" fontId="1" fillId="0" borderId="27" xfId="0" applyFont="1" applyBorder="1" applyAlignment="1">
      <alignment vertical="top"/>
    </xf>
    <xf numFmtId="166" fontId="2" fillId="5" borderId="1" xfId="0" applyNumberFormat="1" applyFont="1" applyFill="1" applyBorder="1" applyAlignment="1">
      <alignment vertical="top"/>
    </xf>
    <xf numFmtId="164" fontId="6" fillId="7" borderId="36" xfId="0" applyNumberFormat="1" applyFont="1" applyFill="1" applyBorder="1" applyAlignment="1">
      <alignment vertical="top"/>
    </xf>
    <xf numFmtId="0" fontId="3" fillId="0" borderId="45" xfId="0" applyFont="1" applyBorder="1"/>
    <xf numFmtId="0" fontId="1" fillId="0" borderId="46" xfId="0" applyFont="1" applyBorder="1" applyAlignment="1">
      <alignment vertical="top"/>
    </xf>
    <xf numFmtId="0" fontId="4" fillId="3" borderId="43" xfId="0" applyFont="1" applyFill="1" applyBorder="1"/>
    <xf numFmtId="0" fontId="1" fillId="0" borderId="25" xfId="0" applyFont="1" applyBorder="1"/>
    <xf numFmtId="0" fontId="1" fillId="0" borderId="25" xfId="0" applyFont="1" applyBorder="1" applyAlignment="1">
      <alignment vertical="top"/>
    </xf>
    <xf numFmtId="164" fontId="1" fillId="0" borderId="25" xfId="0" applyNumberFormat="1" applyFont="1" applyBorder="1" applyAlignment="1">
      <alignment vertical="top"/>
    </xf>
    <xf numFmtId="165" fontId="1" fillId="8" borderId="47" xfId="0" applyNumberFormat="1" applyFont="1" applyFill="1" applyBorder="1" applyAlignment="1">
      <alignment vertical="top"/>
    </xf>
    <xf numFmtId="165" fontId="1" fillId="0" borderId="48" xfId="0" applyNumberFormat="1" applyFont="1" applyBorder="1" applyAlignment="1">
      <alignment vertical="top"/>
    </xf>
    <xf numFmtId="0" fontId="1" fillId="0" borderId="49" xfId="0" applyFont="1" applyBorder="1" applyAlignment="1">
      <alignment vertical="top"/>
    </xf>
    <xf numFmtId="165" fontId="1" fillId="8" borderId="50" xfId="0" applyNumberFormat="1" applyFont="1" applyFill="1" applyBorder="1"/>
    <xf numFmtId="165" fontId="1" fillId="0" borderId="1" xfId="0" applyNumberFormat="1" applyFont="1" applyBorder="1"/>
    <xf numFmtId="0" fontId="1" fillId="0" borderId="51" xfId="0" applyFont="1" applyBorder="1"/>
    <xf numFmtId="0" fontId="1" fillId="6" borderId="50" xfId="0" applyFont="1" applyFill="1" applyBorder="1" applyAlignment="1">
      <alignment vertical="top"/>
    </xf>
    <xf numFmtId="0" fontId="9" fillId="0" borderId="51" xfId="0" applyFont="1" applyBorder="1" applyAlignment="1">
      <alignment vertical="top"/>
    </xf>
    <xf numFmtId="165" fontId="1" fillId="8" borderId="50" xfId="0" applyNumberFormat="1" applyFont="1" applyFill="1" applyBorder="1" applyAlignment="1">
      <alignment vertical="top"/>
    </xf>
    <xf numFmtId="165" fontId="1" fillId="0" borderId="1" xfId="0" applyNumberFormat="1" applyFont="1" applyBorder="1" applyAlignment="1">
      <alignment vertical="top"/>
    </xf>
    <xf numFmtId="0" fontId="1" fillId="0" borderId="51" xfId="0" applyFont="1" applyBorder="1" applyAlignment="1">
      <alignment vertical="top"/>
    </xf>
    <xf numFmtId="0" fontId="1" fillId="0" borderId="39" xfId="0" applyFont="1" applyBorder="1" applyAlignment="1">
      <alignment vertical="top"/>
    </xf>
    <xf numFmtId="165" fontId="1" fillId="6" borderId="50" xfId="0" applyNumberFormat="1" applyFont="1" applyFill="1" applyBorder="1" applyAlignment="1">
      <alignment vertical="top"/>
    </xf>
    <xf numFmtId="0" fontId="7" fillId="0" borderId="52" xfId="0" applyFont="1" applyBorder="1" applyAlignment="1">
      <alignment vertical="top"/>
    </xf>
    <xf numFmtId="10" fontId="1" fillId="9" borderId="50" xfId="0" applyNumberFormat="1" applyFont="1" applyFill="1" applyBorder="1" applyAlignment="1">
      <alignment vertical="top"/>
    </xf>
    <xf numFmtId="10" fontId="1" fillId="0" borderId="1" xfId="0" applyNumberFormat="1" applyFont="1" applyBorder="1" applyAlignment="1">
      <alignment vertical="top"/>
    </xf>
    <xf numFmtId="0" fontId="1" fillId="10" borderId="53" xfId="0" applyFont="1" applyFill="1" applyBorder="1" applyAlignment="1">
      <alignment vertical="top"/>
    </xf>
    <xf numFmtId="166" fontId="10" fillId="5" borderId="54" xfId="0" applyNumberFormat="1" applyFont="1" applyFill="1" applyBorder="1" applyAlignment="1">
      <alignment vertical="top"/>
    </xf>
    <xf numFmtId="10" fontId="1" fillId="6" borderId="50" xfId="0" applyNumberFormat="1" applyFont="1" applyFill="1" applyBorder="1" applyAlignment="1">
      <alignment vertical="top"/>
    </xf>
    <xf numFmtId="0" fontId="11" fillId="11" borderId="55" xfId="0" applyFont="1" applyFill="1" applyBorder="1"/>
    <xf numFmtId="164" fontId="1" fillId="0" borderId="39" xfId="0" applyNumberFormat="1" applyFont="1" applyBorder="1" applyAlignment="1">
      <alignment vertical="top"/>
    </xf>
    <xf numFmtId="166" fontId="1" fillId="0" borderId="3" xfId="0" applyNumberFormat="1" applyFont="1" applyBorder="1" applyAlignment="1">
      <alignment vertical="top"/>
    </xf>
    <xf numFmtId="0" fontId="11" fillId="8" borderId="55" xfId="0" applyFont="1" applyFill="1" applyBorder="1"/>
    <xf numFmtId="166" fontId="1" fillId="0" borderId="56" xfId="0" applyNumberFormat="1" applyFont="1" applyBorder="1" applyAlignment="1">
      <alignment vertical="top"/>
    </xf>
    <xf numFmtId="166" fontId="1" fillId="8" borderId="50" xfId="0" applyNumberFormat="1" applyFont="1" applyFill="1" applyBorder="1" applyAlignment="1">
      <alignment vertical="top"/>
    </xf>
    <xf numFmtId="166" fontId="1" fillId="0" borderId="1" xfId="0" applyNumberFormat="1" applyFont="1" applyBorder="1" applyAlignment="1">
      <alignment vertical="top"/>
    </xf>
    <xf numFmtId="0" fontId="4" fillId="0" borderId="57" xfId="0" applyFont="1" applyBorder="1" applyAlignment="1">
      <alignment horizontal="center"/>
    </xf>
    <xf numFmtId="0" fontId="1" fillId="0" borderId="58" xfId="0" applyFont="1" applyBorder="1" applyAlignment="1">
      <alignment vertical="top"/>
    </xf>
    <xf numFmtId="0" fontId="4" fillId="3" borderId="59" xfId="0" applyFont="1" applyFill="1" applyBorder="1" applyAlignment="1">
      <alignment horizontal="center" vertical="top"/>
    </xf>
    <xf numFmtId="0" fontId="3" fillId="0" borderId="60" xfId="0" applyFont="1" applyBorder="1"/>
    <xf numFmtId="0" fontId="4" fillId="3" borderId="61" xfId="0" applyFont="1" applyFill="1" applyBorder="1" applyAlignment="1">
      <alignment horizontal="center" vertical="top"/>
    </xf>
    <xf numFmtId="0" fontId="7" fillId="0" borderId="27" xfId="0" applyFont="1" applyBorder="1" applyAlignment="1">
      <alignment vertical="top" wrapText="1"/>
    </xf>
    <xf numFmtId="0" fontId="4" fillId="0" borderId="1" xfId="0" applyFont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victoria/Downloads/FIN%20321%20-%20Chapter%208%20Transaction%20Hedging.xlsx" TargetMode="External"/><Relationship Id="rId1" Type="http://schemas.openxmlformats.org/officeDocument/2006/relationships/externalLinkPath" Target="FIN%20321%20-%20Chapter%208%20Transaction%20Hedg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ransaction Hedging (Payables)"/>
      <sheetName val="Transaction Hedging (Receivable"/>
    </sheetNames>
    <sheetDataSet>
      <sheetData sheetId="0">
        <row r="6">
          <cell r="F6">
            <v>5000000</v>
          </cell>
        </row>
        <row r="7">
          <cell r="F7">
            <v>1.8</v>
          </cell>
        </row>
        <row r="9">
          <cell r="F9">
            <v>0.06</v>
          </cell>
        </row>
        <row r="10">
          <cell r="F10">
            <v>6.5000000000000002E-2</v>
          </cell>
        </row>
        <row r="12">
          <cell r="F12">
            <v>1.75</v>
          </cell>
        </row>
        <row r="14">
          <cell r="F14">
            <v>1.8</v>
          </cell>
        </row>
        <row r="15">
          <cell r="F15">
            <v>0.01</v>
          </cell>
        </row>
        <row r="35">
          <cell r="C35">
            <v>1.4999999999999998</v>
          </cell>
        </row>
        <row r="36">
          <cell r="C36">
            <v>1.5499999999999998</v>
          </cell>
        </row>
        <row r="37">
          <cell r="C37">
            <v>1.5999999999999999</v>
          </cell>
        </row>
        <row r="38">
          <cell r="C38">
            <v>1.65</v>
          </cell>
        </row>
        <row r="39">
          <cell r="C39">
            <v>1.7</v>
          </cell>
        </row>
        <row r="40">
          <cell r="C40">
            <v>1.75</v>
          </cell>
        </row>
        <row r="41">
          <cell r="C41">
            <v>1.8</v>
          </cell>
        </row>
        <row r="42">
          <cell r="C42">
            <v>1.85</v>
          </cell>
        </row>
        <row r="43">
          <cell r="C43">
            <v>1.9000000000000001</v>
          </cell>
        </row>
        <row r="44">
          <cell r="C44">
            <v>1.9500000000000002</v>
          </cell>
        </row>
        <row r="45">
          <cell r="C45">
            <v>2</v>
          </cell>
        </row>
        <row r="46">
          <cell r="C46">
            <v>2.0499999999999998</v>
          </cell>
        </row>
        <row r="47">
          <cell r="C47">
            <v>2.0999999999999996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08A6E-0458-3D4C-A018-D0695502C7EC}">
  <sheetPr>
    <outlinePr summaryBelow="0" summaryRight="0"/>
  </sheetPr>
  <dimension ref="A1:AD1014"/>
  <sheetViews>
    <sheetView tabSelected="1" zoomScale="113" workbookViewId="0">
      <selection activeCell="F15" sqref="F15"/>
    </sheetView>
  </sheetViews>
  <sheetFormatPr baseColWidth="10" defaultColWidth="12.6640625" defaultRowHeight="15.75" customHeight="1" x14ac:dyDescent="0.15"/>
  <cols>
    <col min="1" max="1" width="3" customWidth="1"/>
    <col min="2" max="2" width="5.1640625" bestFit="1" customWidth="1"/>
    <col min="3" max="3" width="76.83203125" bestFit="1" customWidth="1"/>
    <col min="4" max="4" width="19" bestFit="1" customWidth="1"/>
    <col min="5" max="5" width="26.1640625" customWidth="1"/>
    <col min="6" max="6" width="34.33203125" customWidth="1"/>
    <col min="7" max="7" width="31.33203125" customWidth="1"/>
    <col min="8" max="8" width="48.5" customWidth="1"/>
    <col min="9" max="9" width="34.33203125" customWidth="1"/>
    <col min="10" max="10" width="24" customWidth="1"/>
    <col min="11" max="11" width="33" customWidth="1"/>
    <col min="12" max="12" width="33.1640625" customWidth="1"/>
    <col min="13" max="13" width="39.6640625" customWidth="1"/>
  </cols>
  <sheetData>
    <row r="1" spans="1:30" ht="15.75" customHeight="1" x14ac:dyDescent="0.15">
      <c r="A1" s="2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0" ht="23" x14ac:dyDescent="0.15">
      <c r="A2" s="2"/>
      <c r="B2" s="1"/>
      <c r="C2" s="115" t="s">
        <v>43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1:30" ht="23" x14ac:dyDescent="0.15">
      <c r="A3" s="2"/>
      <c r="B3" s="1"/>
      <c r="C3" s="114" t="s">
        <v>42</v>
      </c>
      <c r="D3" s="66"/>
      <c r="E3" s="66"/>
      <c r="F3" s="66"/>
      <c r="G3" s="66"/>
      <c r="H3" s="66"/>
      <c r="I3" s="66"/>
      <c r="J3" s="65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1:30" ht="24" thickBot="1" x14ac:dyDescent="0.2">
      <c r="A4" s="2"/>
      <c r="B4" s="1"/>
      <c r="C4" s="81"/>
      <c r="D4" s="81"/>
      <c r="E4" s="81"/>
      <c r="F4" s="81"/>
      <c r="G4" s="1"/>
      <c r="H4" s="8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1:30" ht="24" thickTop="1" x14ac:dyDescent="0.25">
      <c r="A5" s="2"/>
      <c r="B5" s="48"/>
      <c r="C5" s="113" t="s">
        <v>41</v>
      </c>
      <c r="D5" s="112"/>
      <c r="E5" s="112"/>
      <c r="F5" s="111" t="s">
        <v>40</v>
      </c>
      <c r="G5" s="110"/>
      <c r="H5" s="109" t="s">
        <v>39</v>
      </c>
      <c r="I5" s="4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1:30" ht="23" x14ac:dyDescent="0.25">
      <c r="A6" s="2"/>
      <c r="B6" s="48"/>
      <c r="C6" s="93" t="s">
        <v>38</v>
      </c>
      <c r="D6" s="108"/>
      <c r="E6" s="108"/>
      <c r="F6" s="107">
        <v>4500000</v>
      </c>
      <c r="G6" s="106"/>
      <c r="H6" s="105" t="s">
        <v>37</v>
      </c>
      <c r="I6" s="104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 spans="1:30" ht="23" x14ac:dyDescent="0.25">
      <c r="A7" s="2"/>
      <c r="B7" s="48"/>
      <c r="C7" s="93" t="s">
        <v>36</v>
      </c>
      <c r="D7" s="92"/>
      <c r="E7" s="92"/>
      <c r="F7" s="91">
        <v>1.0874999999999999</v>
      </c>
      <c r="G7" s="103"/>
      <c r="H7" s="102" t="s">
        <v>35</v>
      </c>
      <c r="I7" s="4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1:30" ht="23" x14ac:dyDescent="0.15">
      <c r="A8" s="2"/>
      <c r="B8" s="48"/>
      <c r="C8" s="90" t="s">
        <v>34</v>
      </c>
      <c r="D8" s="98"/>
      <c r="E8" s="98"/>
      <c r="F8" s="101"/>
      <c r="G8" s="94"/>
      <c r="H8" s="100" t="s">
        <v>33</v>
      </c>
      <c r="I8" s="4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1:30" ht="23" x14ac:dyDescent="0.15">
      <c r="A9" s="2"/>
      <c r="B9" s="48"/>
      <c r="C9" s="93" t="s">
        <v>32</v>
      </c>
      <c r="D9" s="98"/>
      <c r="E9" s="98"/>
      <c r="F9" s="97">
        <v>3.6790000000000003E-2</v>
      </c>
      <c r="G9" s="94"/>
      <c r="H9" s="99" t="s">
        <v>31</v>
      </c>
      <c r="I9" s="4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30" ht="23" x14ac:dyDescent="0.15">
      <c r="A10" s="2"/>
      <c r="B10" s="48"/>
      <c r="C10" s="93" t="s">
        <v>30</v>
      </c>
      <c r="D10" s="98"/>
      <c r="E10" s="98"/>
      <c r="F10" s="97">
        <v>0.04</v>
      </c>
      <c r="G10" s="96"/>
      <c r="H10" s="55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1:30" ht="23" x14ac:dyDescent="0.15">
      <c r="A11" s="2"/>
      <c r="B11" s="48"/>
      <c r="C11" s="90" t="s">
        <v>29</v>
      </c>
      <c r="D11" s="92"/>
      <c r="E11" s="92"/>
      <c r="F11" s="95"/>
      <c r="G11" s="94"/>
      <c r="H11" s="2" t="s">
        <v>28</v>
      </c>
      <c r="I11" s="4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1:30" ht="23" x14ac:dyDescent="0.15">
      <c r="A12" s="2"/>
      <c r="B12" s="48"/>
      <c r="C12" s="93" t="s">
        <v>27</v>
      </c>
      <c r="D12" s="92"/>
      <c r="E12" s="92"/>
      <c r="F12" s="91">
        <v>1.0874999999999999</v>
      </c>
      <c r="G12" s="4"/>
      <c r="H12" s="3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1:30" ht="23" x14ac:dyDescent="0.15">
      <c r="A13" s="2"/>
      <c r="B13" s="48"/>
      <c r="C13" s="90" t="s">
        <v>26</v>
      </c>
      <c r="D13" s="1"/>
      <c r="E13" s="1"/>
      <c r="F13" s="89"/>
      <c r="G13" s="4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spans="1:30" ht="23" x14ac:dyDescent="0.25">
      <c r="A14" s="2"/>
      <c r="B14" s="48"/>
      <c r="C14" s="88" t="s">
        <v>25</v>
      </c>
      <c r="D14" s="87"/>
      <c r="E14" s="87"/>
      <c r="F14" s="86">
        <v>1.24</v>
      </c>
      <c r="G14" s="4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spans="1:30" ht="24" thickBot="1" x14ac:dyDescent="0.3">
      <c r="A15" s="2"/>
      <c r="B15" s="48"/>
      <c r="C15" s="85" t="s">
        <v>24</v>
      </c>
      <c r="D15" s="84"/>
      <c r="E15" s="84"/>
      <c r="F15" s="83">
        <v>1.4999999999999999E-2</v>
      </c>
      <c r="G15" s="4"/>
      <c r="H15" s="63"/>
      <c r="I15" s="1"/>
      <c r="J15" s="63"/>
      <c r="K15" s="63"/>
      <c r="L15" s="63"/>
      <c r="M15" s="6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spans="1:30" ht="15.75" customHeight="1" thickTop="1" x14ac:dyDescent="0.25">
      <c r="A16" s="2"/>
      <c r="B16" s="1"/>
      <c r="C16" s="55"/>
      <c r="D16" s="55"/>
      <c r="E16" s="55"/>
      <c r="F16" s="55"/>
      <c r="G16" s="82"/>
      <c r="H16" s="82"/>
      <c r="I16" s="81"/>
      <c r="J16" s="80"/>
      <c r="K16" s="63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spans="1:30" ht="23" x14ac:dyDescent="0.25">
      <c r="A17" s="2"/>
      <c r="B17" s="48"/>
      <c r="C17" s="79" t="s">
        <v>10</v>
      </c>
      <c r="D17" s="69"/>
      <c r="E17" s="69"/>
      <c r="F17" s="69"/>
      <c r="G17" s="69"/>
      <c r="H17" s="69"/>
      <c r="I17" s="69"/>
      <c r="J17" s="68"/>
      <c r="K17" s="4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spans="1:30" ht="23" x14ac:dyDescent="0.15">
      <c r="A18" s="2"/>
      <c r="B18" s="48"/>
      <c r="C18" s="78" t="s">
        <v>23</v>
      </c>
      <c r="D18" s="57"/>
      <c r="E18" s="77"/>
      <c r="F18" s="76">
        <f>F6*for_GBPUSD</f>
        <v>4893750</v>
      </c>
      <c r="G18" s="58" t="s">
        <v>19</v>
      </c>
      <c r="H18" s="57"/>
      <c r="I18" s="57"/>
      <c r="J18" s="56"/>
      <c r="K18" s="4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spans="1:30" ht="15.75" customHeight="1" x14ac:dyDescent="0.15">
      <c r="A19" s="2"/>
      <c r="B19" s="1"/>
      <c r="C19" s="55"/>
      <c r="D19" s="55"/>
      <c r="E19" s="55"/>
      <c r="F19" s="55"/>
      <c r="G19" s="54"/>
      <c r="H19" s="55"/>
      <c r="I19" s="55"/>
      <c r="J19" s="55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spans="1:30" ht="23" x14ac:dyDescent="0.15">
      <c r="A20" s="2"/>
      <c r="B20" s="48"/>
      <c r="C20" s="70" t="s">
        <v>8</v>
      </c>
      <c r="D20" s="69"/>
      <c r="E20" s="69"/>
      <c r="F20" s="69"/>
      <c r="G20" s="69"/>
      <c r="H20" s="69"/>
      <c r="I20" s="69"/>
      <c r="J20" s="68"/>
      <c r="K20" s="4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spans="1:30" ht="23" x14ac:dyDescent="0.15">
      <c r="A21" s="2"/>
      <c r="B21" s="48"/>
      <c r="C21" s="67" t="s">
        <v>22</v>
      </c>
      <c r="D21" s="66"/>
      <c r="E21" s="65"/>
      <c r="F21" s="75">
        <f>F6/(1+F10)</f>
        <v>4326923.076923077</v>
      </c>
      <c r="G21" s="74"/>
      <c r="H21" s="66"/>
      <c r="I21" s="66"/>
      <c r="J21" s="73"/>
      <c r="K21" s="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spans="1:30" ht="23" x14ac:dyDescent="0.15">
      <c r="A22" s="2"/>
      <c r="B22" s="48"/>
      <c r="C22" s="67" t="s">
        <v>21</v>
      </c>
      <c r="D22" s="66"/>
      <c r="E22" s="65"/>
      <c r="F22" s="64">
        <f>F21*F7</f>
        <v>4705528.846153846</v>
      </c>
      <c r="G22" s="74"/>
      <c r="H22" s="66"/>
      <c r="I22" s="66"/>
      <c r="J22" s="73"/>
      <c r="K22" s="4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spans="1:30" ht="23" x14ac:dyDescent="0.15">
      <c r="A23" s="2"/>
      <c r="B23" s="48"/>
      <c r="C23" s="67" t="s">
        <v>20</v>
      </c>
      <c r="D23" s="66"/>
      <c r="E23" s="65"/>
      <c r="F23" s="64">
        <f>F22*(1+F9)</f>
        <v>4878645.2524038469</v>
      </c>
      <c r="G23" s="74"/>
      <c r="H23" s="66"/>
      <c r="I23" s="66"/>
      <c r="J23" s="73"/>
      <c r="K23" s="4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spans="1:30" ht="23" x14ac:dyDescent="0.15">
      <c r="A24" s="2"/>
      <c r="B24" s="48"/>
      <c r="C24" s="61"/>
      <c r="D24" s="72"/>
      <c r="E24" s="72"/>
      <c r="F24" s="71">
        <f>F23</f>
        <v>4878645.2524038469</v>
      </c>
      <c r="G24" s="58" t="s">
        <v>19</v>
      </c>
      <c r="H24" s="57"/>
      <c r="I24" s="57"/>
      <c r="J24" s="56"/>
      <c r="K24" s="4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spans="1:30" ht="15.75" customHeight="1" x14ac:dyDescent="0.15">
      <c r="A25" s="2"/>
      <c r="B25" s="1"/>
      <c r="C25" s="55"/>
      <c r="D25" s="55"/>
      <c r="E25" s="55"/>
      <c r="F25" s="55"/>
      <c r="G25" s="54"/>
      <c r="H25" s="55"/>
      <c r="I25" s="55"/>
      <c r="J25" s="55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spans="1:30" ht="23" x14ac:dyDescent="0.15">
      <c r="A26" s="2"/>
      <c r="B26" s="48"/>
      <c r="C26" s="70" t="s">
        <v>7</v>
      </c>
      <c r="D26" s="69"/>
      <c r="E26" s="69"/>
      <c r="F26" s="69"/>
      <c r="G26" s="69"/>
      <c r="H26" s="69"/>
      <c r="I26" s="69"/>
      <c r="J26" s="68"/>
      <c r="K26" s="4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spans="1:30" ht="23" x14ac:dyDescent="0.25">
      <c r="A27" s="2"/>
      <c r="B27" s="48"/>
      <c r="C27" s="67" t="s">
        <v>18</v>
      </c>
      <c r="D27" s="66"/>
      <c r="E27" s="65"/>
      <c r="F27" s="64">
        <f>-put_price*recievable</f>
        <v>-67500</v>
      </c>
      <c r="G27" s="63" t="e">
        <f ca="1">_xludf.FORMULATEXT(F27)</f>
        <v>#NAME?</v>
      </c>
      <c r="H27" s="1"/>
      <c r="I27" s="1"/>
      <c r="J27" s="62"/>
      <c r="K27" s="4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spans="1:30" ht="23" x14ac:dyDescent="0.25">
      <c r="A28" s="2"/>
      <c r="B28" s="48"/>
      <c r="C28" s="67" t="s">
        <v>17</v>
      </c>
      <c r="D28" s="66"/>
      <c r="E28" s="65"/>
      <c r="F28" s="64">
        <f>F27*(1+F9)</f>
        <v>-69983.325000000012</v>
      </c>
      <c r="G28" s="63"/>
      <c r="H28" s="1"/>
      <c r="I28" s="1"/>
      <c r="J28" s="62"/>
      <c r="K28" s="4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spans="1:30" ht="23" x14ac:dyDescent="0.15">
      <c r="A29" s="2"/>
      <c r="B29" s="48"/>
      <c r="C29" s="61"/>
      <c r="D29" s="60"/>
      <c r="E29" s="60"/>
      <c r="F29" s="59">
        <f>MIN(G33:G45)</f>
        <v>6230016.6749999998</v>
      </c>
      <c r="G29" s="58" t="s">
        <v>16</v>
      </c>
      <c r="H29" s="57"/>
      <c r="I29" s="57"/>
      <c r="J29" s="56"/>
      <c r="K29" s="4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spans="1:30" ht="15.75" customHeight="1" x14ac:dyDescent="0.15">
      <c r="A30" s="2"/>
      <c r="B30" s="1"/>
      <c r="C30" s="3"/>
      <c r="D30" s="55"/>
      <c r="E30" s="55"/>
      <c r="F30" s="55"/>
      <c r="G30" s="54"/>
      <c r="H30" s="3"/>
      <c r="I30" s="3"/>
      <c r="J30" s="3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1:30" ht="23" x14ac:dyDescent="0.15">
      <c r="A31" s="2"/>
      <c r="B31" s="48"/>
      <c r="C31" s="53" t="s">
        <v>15</v>
      </c>
      <c r="D31" s="50" t="s">
        <v>14</v>
      </c>
      <c r="E31" s="51"/>
      <c r="F31" s="51"/>
      <c r="G31" s="49"/>
      <c r="H31" s="52" t="s">
        <v>13</v>
      </c>
      <c r="I31" s="51"/>
      <c r="J31" s="49"/>
      <c r="K31" s="50" t="s">
        <v>12</v>
      </c>
      <c r="L31" s="49"/>
      <c r="M31" s="4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spans="1:30" ht="24" thickBot="1" x14ac:dyDescent="0.2">
      <c r="A32" s="2"/>
      <c r="B32" s="48"/>
      <c r="C32" s="47"/>
      <c r="D32" s="40" t="s">
        <v>11</v>
      </c>
      <c r="E32" s="46" t="s">
        <v>10</v>
      </c>
      <c r="F32" s="45" t="s">
        <v>8</v>
      </c>
      <c r="G32" s="44" t="s">
        <v>7</v>
      </c>
      <c r="H32" s="43" t="s">
        <v>9</v>
      </c>
      <c r="I32" s="42" t="s">
        <v>8</v>
      </c>
      <c r="J32" s="41" t="s">
        <v>7</v>
      </c>
      <c r="K32" s="40" t="s">
        <v>6</v>
      </c>
      <c r="L32" s="39" t="s">
        <v>5</v>
      </c>
      <c r="M32" s="4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1:30" ht="24" thickBot="1" x14ac:dyDescent="0.3">
      <c r="A33" s="16"/>
      <c r="B33" s="38" t="s">
        <v>4</v>
      </c>
      <c r="C33" s="37">
        <f>C34-0.01</f>
        <v>1.4</v>
      </c>
      <c r="D33" s="36">
        <f>C33*$F$6</f>
        <v>6300000</v>
      </c>
      <c r="E33" s="35">
        <f>$D33+($F$12-C33)*$F$6</f>
        <v>4893750</v>
      </c>
      <c r="F33" s="34">
        <f>$F$24</f>
        <v>4878645.2524038469</v>
      </c>
      <c r="G33" s="33">
        <f>hedge_no+J33</f>
        <v>6230016.6749999998</v>
      </c>
      <c r="H33" s="32">
        <f>($F$12-C33)*$F$6</f>
        <v>-1406250</v>
      </c>
      <c r="I33" s="31">
        <f>$F$24-D33</f>
        <v>-1421354.7475961531</v>
      </c>
      <c r="J33" s="7">
        <f>fv_put_outlay+MAX(0,(x_put-gbpusd_1y_scenario)*recievable)</f>
        <v>-69983.325000000012</v>
      </c>
      <c r="K33" s="30" t="str">
        <f>IF(E33= MAX(D33,E33,F33,G33),$E$32,IF(F33= MAX(D33,E33,F33,G33),$F$32,IF(G33= MAX(D33,E33,F33,G33),$G$32,$D$32)))</f>
        <v>0. No Hedge</v>
      </c>
      <c r="L33" s="29" t="str">
        <f>IF(E33= MAX(E33,F33,G33),$E$32,IF(F33= MAX(E33,F33,G33),$F$32,$G$32))</f>
        <v>3. Option Hedge</v>
      </c>
      <c r="M33" s="4" t="s">
        <v>3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1:30" ht="29" thickBot="1" x14ac:dyDescent="0.3">
      <c r="A34" s="16"/>
      <c r="B34" s="26"/>
      <c r="C34" s="25">
        <f>C35-0.01</f>
        <v>1.41</v>
      </c>
      <c r="D34" s="24">
        <f>C34*$F$6</f>
        <v>6345000</v>
      </c>
      <c r="E34" s="23">
        <f>$D34+($F$12-C34)*$F$6</f>
        <v>4893750</v>
      </c>
      <c r="F34" s="22">
        <f>$F$24</f>
        <v>4878645.2524038469</v>
      </c>
      <c r="G34" s="21">
        <f>$D34+J34</f>
        <v>6275016.6749999998</v>
      </c>
      <c r="H34" s="20">
        <f>($F$12-C34)*$F$6</f>
        <v>-1451250</v>
      </c>
      <c r="I34" s="19">
        <f>$F$24-D34</f>
        <v>-1466354.7475961531</v>
      </c>
      <c r="J34" s="7">
        <f>fv_put_outlay+MAX(0,(x_put-gbpusd_1y_scenario)*recievable)</f>
        <v>-69983.325000000012</v>
      </c>
      <c r="K34" s="18" t="str">
        <f>IF(E34= MAX(D34,E34,F34,G34),$E$32,IF(F34= MAX(D34,E34,F34,G34),$F$32,IF(G34= MAX(D34,E34,F34,G34),$G$32,$D$32)))</f>
        <v>0. No Hedge</v>
      </c>
      <c r="L34" s="27" t="str">
        <f>IF(E34= MAX(E34,F34,G34),$E$32,IF(F34= MAX(E34,F34,G34),$F$32,$G$32))</f>
        <v>3. Option Hedge</v>
      </c>
      <c r="M34" s="28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1:30" ht="24" thickBot="1" x14ac:dyDescent="0.3">
      <c r="A35" s="16"/>
      <c r="B35" s="26"/>
      <c r="C35" s="25">
        <f>C36-0.01</f>
        <v>1.42</v>
      </c>
      <c r="D35" s="24">
        <f>C35*$F$6</f>
        <v>6390000</v>
      </c>
      <c r="E35" s="23">
        <f>$D35+($F$12-C35)*$F$6</f>
        <v>4893750</v>
      </c>
      <c r="F35" s="22">
        <f>$F$24</f>
        <v>4878645.2524038469</v>
      </c>
      <c r="G35" s="21">
        <f>$D35+J35</f>
        <v>6320016.6749999998</v>
      </c>
      <c r="H35" s="20">
        <f>($F$12-C35)*$F$6</f>
        <v>-1496250</v>
      </c>
      <c r="I35" s="19">
        <f>$F$24-D35</f>
        <v>-1511354.7475961531</v>
      </c>
      <c r="J35" s="7">
        <f>fv_put_outlay+MAX(0,(x_put-gbpusd_1y_scenario)*recievable)</f>
        <v>-69983.325000000012</v>
      </c>
      <c r="K35" s="18" t="str">
        <f>IF(E35= MAX(D35,E35,F35,G35),$E$32,IF(F35= MAX(D35,E35,F35,G35),$F$32,IF(G35= MAX(D35,E35,F35,G35),$G$32,$D$32)))</f>
        <v>0. No Hedge</v>
      </c>
      <c r="L35" s="27" t="str">
        <f>IF(E35= MAX(E35,F35,G35),$E$32,IF(F35= MAX(E35,F35,G35),$F$32,$G$32))</f>
        <v>3. Option Hedge</v>
      </c>
      <c r="M35" s="4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1:30" ht="24" thickBot="1" x14ac:dyDescent="0.3">
      <c r="A36" s="16"/>
      <c r="B36" s="26"/>
      <c r="C36" s="25">
        <f>C37-0.01</f>
        <v>1.43</v>
      </c>
      <c r="D36" s="24">
        <f>C36*$F$6</f>
        <v>6435000</v>
      </c>
      <c r="E36" s="23">
        <f>$D36+($F$12-C36)*$F$6</f>
        <v>4893750</v>
      </c>
      <c r="F36" s="22">
        <f>$F$24</f>
        <v>4878645.2524038469</v>
      </c>
      <c r="G36" s="21">
        <f>$D36+J36</f>
        <v>6365016.6749999998</v>
      </c>
      <c r="H36" s="20">
        <f>($F$12-C36)*$F$6</f>
        <v>-1541250.0000000002</v>
      </c>
      <c r="I36" s="19">
        <f>$F$24-D36</f>
        <v>-1556354.7475961531</v>
      </c>
      <c r="J36" s="7">
        <f>fv_put_outlay+MAX(0,(x_put-gbpusd_1y_scenario)*recievable)</f>
        <v>-69983.325000000012</v>
      </c>
      <c r="K36" s="18" t="str">
        <f>IF(E36= MAX(D36,E36,F36,G36),$E$32,IF(F36= MAX(D36,E36,F36,G36),$F$32,IF(G36= MAX(D36,E36,F36,G36),$G$32,$D$32)))</f>
        <v>0. No Hedge</v>
      </c>
      <c r="L36" s="27" t="str">
        <f>IF(E36= MAX(E36,F36,G36),$E$32,IF(F36= MAX(E36,F36,G36),$F$32,$G$32))</f>
        <v>3. Option Hedge</v>
      </c>
      <c r="M36" s="4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1:30" ht="24" thickBot="1" x14ac:dyDescent="0.3">
      <c r="A37" s="16"/>
      <c r="B37" s="26"/>
      <c r="C37" s="25">
        <f>C38-0.01</f>
        <v>1.44</v>
      </c>
      <c r="D37" s="24">
        <f>C37*$F$6</f>
        <v>6480000</v>
      </c>
      <c r="E37" s="23">
        <f>$D37+($F$12-C37)*$F$6</f>
        <v>4893750</v>
      </c>
      <c r="F37" s="22">
        <f>$F$24</f>
        <v>4878645.2524038469</v>
      </c>
      <c r="G37" s="21">
        <f>$D37+J37</f>
        <v>6410016.6749999998</v>
      </c>
      <c r="H37" s="20">
        <f>($F$12-C37)*$F$6</f>
        <v>-1586250.0000000002</v>
      </c>
      <c r="I37" s="19">
        <f>$F$24-D37</f>
        <v>-1601354.7475961531</v>
      </c>
      <c r="J37" s="7">
        <f>fv_put_outlay+MAX(0,(x_put-gbpusd_1y_scenario)*recievable)</f>
        <v>-69983.325000000012</v>
      </c>
      <c r="K37" s="18" t="str">
        <f>IF(E37= MAX(D37,E37,F37,G37),$E$32,IF(F37= MAX(D37,E37,F37,G37),$F$32,IF(G37= MAX(D37,E37,F37,G37),$G$32,$D$32)))</f>
        <v>0. No Hedge</v>
      </c>
      <c r="L37" s="27" t="str">
        <f>IF(E37= MAX(E37,F37,G37),$E$32,IF(F37= MAX(E37,F37,G37),$F$32,$G$32))</f>
        <v>3. Option Hedge</v>
      </c>
      <c r="M37" s="4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1:30" ht="24" thickBot="1" x14ac:dyDescent="0.3">
      <c r="A38" s="16"/>
      <c r="B38" s="26"/>
      <c r="C38" s="25">
        <f>C39-0.01</f>
        <v>1.45</v>
      </c>
      <c r="D38" s="24">
        <f>C38*$F$6</f>
        <v>6525000</v>
      </c>
      <c r="E38" s="23">
        <f>$D38+($F$12-C38)*$F$6</f>
        <v>4893750</v>
      </c>
      <c r="F38" s="22">
        <f>$F$24</f>
        <v>4878645.2524038469</v>
      </c>
      <c r="G38" s="21">
        <f>$D38+J38</f>
        <v>6455016.6749999998</v>
      </c>
      <c r="H38" s="20">
        <f>($F$12-C38)*$F$6</f>
        <v>-1631250.0000000002</v>
      </c>
      <c r="I38" s="19">
        <f>$F$24-D38</f>
        <v>-1646354.7475961531</v>
      </c>
      <c r="J38" s="7">
        <f>fv_put_outlay+MAX(0,(x_put-gbpusd_1y_scenario)*recievable)</f>
        <v>-69983.325000000012</v>
      </c>
      <c r="K38" s="18" t="str">
        <f>IF(E38= MAX(D38,E38,F38,G38),$E$32,IF(F38= MAX(D38,E38,F38,G38),$F$32,IF(G38= MAX(D38,E38,F38,G38),$G$32,$D$32)))</f>
        <v>0. No Hedge</v>
      </c>
      <c r="L38" s="27" t="str">
        <f>IF(E38= MAX(E38,F38,G38),$E$32,IF(F38= MAX(E38,F38,G38),$F$32,$G$32))</f>
        <v>3. Option Hedge</v>
      </c>
      <c r="M38" s="4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1:30" ht="24" thickBot="1" x14ac:dyDescent="0.3">
      <c r="A39" s="16"/>
      <c r="B39" s="26"/>
      <c r="C39" s="25">
        <v>1.46</v>
      </c>
      <c r="D39" s="24">
        <f>C39*$F$6</f>
        <v>6570000</v>
      </c>
      <c r="E39" s="23">
        <f>$D39+($F$12-C39)*$F$6</f>
        <v>4893750</v>
      </c>
      <c r="F39" s="22">
        <f>$F$24</f>
        <v>4878645.2524038469</v>
      </c>
      <c r="G39" s="21">
        <f>$D39+J39</f>
        <v>6500016.6749999998</v>
      </c>
      <c r="H39" s="20">
        <f>($F$12-C39)*$F$6</f>
        <v>-1676250.0000000002</v>
      </c>
      <c r="I39" s="19">
        <f>$F$24-D39</f>
        <v>-1691354.7475961531</v>
      </c>
      <c r="J39" s="7">
        <f>fv_put_outlay+MAX(0,(x_put-gbpusd_1y_scenario)*recievable)</f>
        <v>-69983.325000000012</v>
      </c>
      <c r="K39" s="18" t="str">
        <f>IF(E39= MAX(D39,E39,F39,G39),$E$32,IF(F39= MAX(D39,E39,F39,G39),$F$32,IF(G39= MAX(D39,E39,F39,G39),$G$32,$D$32)))</f>
        <v>0. No Hedge</v>
      </c>
      <c r="L39" s="27" t="str">
        <f>IF(E39= MAX(E39,F39,G39),$E$32,IF(F39= MAX(E39,F39,G39),$F$32,$G$32))</f>
        <v>3. Option Hedge</v>
      </c>
      <c r="M39" s="4" t="s">
        <v>2</v>
      </c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1:30" ht="24" thickBot="1" x14ac:dyDescent="0.3">
      <c r="A40" s="16"/>
      <c r="B40" s="26"/>
      <c r="C40" s="25">
        <f>C39+0.01</f>
        <v>1.47</v>
      </c>
      <c r="D40" s="24">
        <f>C40*$F$6</f>
        <v>6615000</v>
      </c>
      <c r="E40" s="23">
        <f>$D40+($F$12-C40)*$F$6</f>
        <v>4893750</v>
      </c>
      <c r="F40" s="22">
        <f>$F$24</f>
        <v>4878645.2524038469</v>
      </c>
      <c r="G40" s="21">
        <f>$D40+J40</f>
        <v>6545016.6749999998</v>
      </c>
      <c r="H40" s="20">
        <f>($F$12-C40)*$F$6</f>
        <v>-1721250.0000000002</v>
      </c>
      <c r="I40" s="19">
        <f>$F$24-D40</f>
        <v>-1736354.7475961531</v>
      </c>
      <c r="J40" s="7">
        <f>fv_put_outlay+MAX(0,(x_put-gbpusd_1y_scenario)*recievable)</f>
        <v>-69983.325000000012</v>
      </c>
      <c r="K40" s="18" t="str">
        <f>IF(E40= MAX(D40,E40,F40,G40),$E$32,IF(F40= MAX(D40,E40,F40,G40),$F$32,IF(G40= MAX(D40,E40,F40,G40),$G$32,$D$32)))</f>
        <v>0. No Hedge</v>
      </c>
      <c r="L40" s="27" t="str">
        <f>IF(E40= MAX(E40,F40,G40),$E$32,IF(F40= MAX(E40,F40,G40),$F$32,$G$32))</f>
        <v>3. Option Hedge</v>
      </c>
      <c r="M40" s="4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1:30" ht="24" thickBot="1" x14ac:dyDescent="0.3">
      <c r="A41" s="16"/>
      <c r="B41" s="26"/>
      <c r="C41" s="25">
        <f>C40+0.01</f>
        <v>1.48</v>
      </c>
      <c r="D41" s="24">
        <f>C41*$F$6</f>
        <v>6660000</v>
      </c>
      <c r="E41" s="23">
        <f>$D41+($F$12-C41)*$F$6</f>
        <v>4893750</v>
      </c>
      <c r="F41" s="22">
        <f>$F$24</f>
        <v>4878645.2524038469</v>
      </c>
      <c r="G41" s="21">
        <f>$D41+J41</f>
        <v>6590016.6749999998</v>
      </c>
      <c r="H41" s="20">
        <f>($F$12-C41)*$F$6</f>
        <v>-1766250.0000000002</v>
      </c>
      <c r="I41" s="19">
        <f>$F$24-D41</f>
        <v>-1781354.7475961531</v>
      </c>
      <c r="J41" s="7">
        <f>fv_put_outlay+MAX(0,(x_put-gbpusd_1y_scenario)*recievable)</f>
        <v>-69983.325000000012</v>
      </c>
      <c r="K41" s="18" t="str">
        <f>IF(E41= MAX(D41,E41,F41,G41),$E$32,IF(F41= MAX(D41,E41,F41,G41),$F$32,IF(G41= MAX(D41,E41,F41,G41),$G$32,$D$32)))</f>
        <v>0. No Hedge</v>
      </c>
      <c r="L41" s="27" t="str">
        <f>IF(E41= MAX(E41,F41,G41),$E$32,IF(F41= MAX(E41,F41,G41),$F$32,$G$32))</f>
        <v>3. Option Hedge</v>
      </c>
      <c r="M41" s="4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1:30" ht="24" thickBot="1" x14ac:dyDescent="0.3">
      <c r="A42" s="16"/>
      <c r="B42" s="26"/>
      <c r="C42" s="25">
        <f>C41+0.01</f>
        <v>1.49</v>
      </c>
      <c r="D42" s="24">
        <f>C42*$F$6</f>
        <v>6705000</v>
      </c>
      <c r="E42" s="23">
        <f>$D42+($F$12-C42)*$F$6</f>
        <v>4893750</v>
      </c>
      <c r="F42" s="22">
        <f>$F$24</f>
        <v>4878645.2524038469</v>
      </c>
      <c r="G42" s="21">
        <f>$D42+J42</f>
        <v>6635016.6749999998</v>
      </c>
      <c r="H42" s="20">
        <f>($F$12-C42)*$F$6</f>
        <v>-1811250.0000000005</v>
      </c>
      <c r="I42" s="19">
        <f>$F$24-D42</f>
        <v>-1826354.7475961531</v>
      </c>
      <c r="J42" s="7">
        <f>fv_put_outlay+MAX(0,(x_put-gbpusd_1y_scenario)*recievable)</f>
        <v>-69983.325000000012</v>
      </c>
      <c r="K42" s="18" t="str">
        <f>IF(E42= MAX(D42,E42,F42,G42),$E$32,IF(F42= MAX(D42,E42,F42,G42),$F$32,IF(G42= MAX(D42,E42,F42,G42),$G$32,$D$32)))</f>
        <v>0. No Hedge</v>
      </c>
      <c r="L42" s="17" t="str">
        <f>IF(E42= MAX(E42,F42,G42),$E$32,IF(F42= MAX(E42,F42,G42),$F$32,$G$32))</f>
        <v>3. Option Hedge</v>
      </c>
      <c r="M42" s="4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1:30" ht="24" thickBot="1" x14ac:dyDescent="0.3">
      <c r="A43" s="16"/>
      <c r="B43" s="26"/>
      <c r="C43" s="25">
        <f>C42+0.01</f>
        <v>1.5</v>
      </c>
      <c r="D43" s="24">
        <f>C43*$F$6</f>
        <v>6750000</v>
      </c>
      <c r="E43" s="23">
        <f>$D43+($F$12-C43)*$F$6</f>
        <v>4893750</v>
      </c>
      <c r="F43" s="22">
        <f>$F$24</f>
        <v>4878645.2524038469</v>
      </c>
      <c r="G43" s="21">
        <f>$D43+J43</f>
        <v>6680016.6749999998</v>
      </c>
      <c r="H43" s="20">
        <f>($F$12-C43)*$F$6</f>
        <v>-1856250.0000000005</v>
      </c>
      <c r="I43" s="19">
        <f>$F$24-D43</f>
        <v>-1871354.7475961531</v>
      </c>
      <c r="J43" s="7">
        <f>fv_put_outlay+MAX(0,(x_put-gbpusd_1y_scenario)*recievable)</f>
        <v>-69983.325000000012</v>
      </c>
      <c r="K43" s="18" t="str">
        <f>IF(E43= MAX(D43,E43,F43,G43),$E$32,IF(F43= MAX(D43,E43,F43,G43),$F$32,IF(G43= MAX(D43,E43,F43,G43),$G$32,$D$32)))</f>
        <v>0. No Hedge</v>
      </c>
      <c r="L43" s="17" t="str">
        <f>IF(E43= MAX(E43,F43,G43),$E$32,IF(F43= MAX(E43,F43,G43),$F$32,$G$32))</f>
        <v>3. Option Hedge</v>
      </c>
      <c r="M43" s="4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1:30" ht="24" thickBot="1" x14ac:dyDescent="0.3">
      <c r="A44" s="16"/>
      <c r="B44" s="26"/>
      <c r="C44" s="25">
        <f>C43+0.01</f>
        <v>1.51</v>
      </c>
      <c r="D44" s="24">
        <f>C44*$F$6</f>
        <v>6795000</v>
      </c>
      <c r="E44" s="23">
        <f>$D44+($F$12-C44)*$F$6</f>
        <v>4893750</v>
      </c>
      <c r="F44" s="22">
        <f>$F$24</f>
        <v>4878645.2524038469</v>
      </c>
      <c r="G44" s="21">
        <f>$D44+J44</f>
        <v>6725016.6749999998</v>
      </c>
      <c r="H44" s="20">
        <f>($F$12-C44)*$F$6</f>
        <v>-1901250.0000000005</v>
      </c>
      <c r="I44" s="19">
        <f>$F$24-D44</f>
        <v>-1916354.7475961531</v>
      </c>
      <c r="J44" s="7">
        <f>fv_put_outlay+MAX(0,(x_put-gbpusd_1y_scenario)*recievable)</f>
        <v>-69983.325000000012</v>
      </c>
      <c r="K44" s="18" t="str">
        <f>IF(E44= MAX(D44,E44,F44,G44),$E$32,IF(F44= MAX(D44,E44,F44,G44),$F$32,IF(G44= MAX(D44,E44,F44,G44),$G$32,$D$32)))</f>
        <v>0. No Hedge</v>
      </c>
      <c r="L44" s="17" t="str">
        <f>IF(E44= MAX(E44,F44,G44),$E$32,IF(F44= MAX(E44,F44,G44),$F$32,$G$32))</f>
        <v>3. Option Hedge</v>
      </c>
      <c r="M44" s="4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1:30" ht="24" thickBot="1" x14ac:dyDescent="0.3">
      <c r="A45" s="16"/>
      <c r="B45" s="15"/>
      <c r="C45" s="14">
        <f>C44+0.01</f>
        <v>1.52</v>
      </c>
      <c r="D45" s="13">
        <f>C45*$F$6</f>
        <v>6840000</v>
      </c>
      <c r="E45" s="12">
        <f>$D45+($F$12-C45)*$F$6</f>
        <v>4893750</v>
      </c>
      <c r="F45" s="11">
        <f>$F$24</f>
        <v>4878645.2524038469</v>
      </c>
      <c r="G45" s="10">
        <f>$D45+J45</f>
        <v>6770016.6749999998</v>
      </c>
      <c r="H45" s="9">
        <f>($F$12-C45)*$F$6</f>
        <v>-1946250.0000000005</v>
      </c>
      <c r="I45" s="8">
        <f>$F$24-D45</f>
        <v>-1961354.7475961531</v>
      </c>
      <c r="J45" s="7">
        <f>fv_put_outlay+MAX(0,(x_put-gbpusd_1y_scenario)*recievable)</f>
        <v>-69983.325000000012</v>
      </c>
      <c r="K45" s="6" t="str">
        <f>IF(E45= MAX(D45,E45,F45,G45),$E$32,IF(F45= MAX(D45,E45,F45,G45),$F$32,IF(G45= MAX(D45,E45,F45,G45),$G$32,$D$32)))</f>
        <v>0. No Hedge</v>
      </c>
      <c r="L45" s="5" t="str">
        <f>IF(E45= MAX(E45,F45,G45),$E$32,IF(F45= MAX(E45,F45,G45),$F$32,$G$32))</f>
        <v>3. Option Hedge</v>
      </c>
      <c r="M45" s="4" t="s">
        <v>1</v>
      </c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1:30" ht="15.75" customHeight="1" x14ac:dyDescent="0.15">
      <c r="A46" s="2"/>
      <c r="B46" s="1"/>
      <c r="C46" s="3"/>
      <c r="D46" s="3"/>
      <c r="E46" s="3"/>
      <c r="F46" s="3"/>
      <c r="G46" s="3"/>
      <c r="H46" s="3"/>
      <c r="I46" s="3"/>
      <c r="J46" s="3"/>
      <c r="K46" s="3"/>
      <c r="L46" s="3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1:30" ht="15.75" customHeight="1" x14ac:dyDescent="0.15">
      <c r="A47" s="2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1:30" ht="15.75" customHeight="1" x14ac:dyDescent="0.15">
      <c r="A48" s="2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1:30" ht="15.75" customHeight="1" x14ac:dyDescent="0.15">
      <c r="A49" s="2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1:30" ht="15.75" customHeight="1" x14ac:dyDescent="0.15">
      <c r="A50" s="2"/>
      <c r="B50" s="1"/>
      <c r="C50" s="1" t="s">
        <v>0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1:30" ht="23" x14ac:dyDescent="0.15">
      <c r="A51" s="2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1:30" ht="23" x14ac:dyDescent="0.15">
      <c r="A52" s="2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1:30" ht="23" x14ac:dyDescent="0.15">
      <c r="A53" s="2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1:30" ht="23" x14ac:dyDescent="0.15">
      <c r="A54" s="2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1:30" ht="23" x14ac:dyDescent="0.15">
      <c r="A55" s="2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1:30" ht="23" x14ac:dyDescent="0.15">
      <c r="A56" s="2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1:30" ht="23" x14ac:dyDescent="0.15">
      <c r="A57" s="2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1:30" ht="23" x14ac:dyDescent="0.15">
      <c r="A58" s="2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1:30" ht="23" x14ac:dyDescent="0.15">
      <c r="A59" s="2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1:30" ht="23" x14ac:dyDescent="0.15">
      <c r="A60" s="2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1:30" ht="23" x14ac:dyDescent="0.15">
      <c r="A61" s="2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1:30" ht="23" x14ac:dyDescent="0.15">
      <c r="A62" s="2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1:30" ht="23" x14ac:dyDescent="0.15">
      <c r="A63" s="2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1:30" ht="23" x14ac:dyDescent="0.15">
      <c r="A64" s="2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1:30" ht="23" x14ac:dyDescent="0.15">
      <c r="A65" s="2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1:30" ht="23" x14ac:dyDescent="0.15">
      <c r="A66" s="2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1:30" ht="23" x14ac:dyDescent="0.15">
      <c r="A67" s="2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1:30" ht="23" x14ac:dyDescent="0.15">
      <c r="A68" s="2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ht="23" x14ac:dyDescent="0.15">
      <c r="A69" s="2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1:30" ht="23" x14ac:dyDescent="0.15">
      <c r="A70" s="2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ht="23" x14ac:dyDescent="0.15">
      <c r="A71" s="2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1:30" ht="23" x14ac:dyDescent="0.15">
      <c r="A72" s="2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ht="23" x14ac:dyDescent="0.15">
      <c r="A73" s="2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1:30" ht="23" x14ac:dyDescent="0.15">
      <c r="A74" s="2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ht="23" x14ac:dyDescent="0.15">
      <c r="A75" s="2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1:30" ht="23" x14ac:dyDescent="0.15">
      <c r="A76" s="2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1:30" ht="23" x14ac:dyDescent="0.15">
      <c r="A77" s="2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1:30" ht="23" x14ac:dyDescent="0.15">
      <c r="A78" s="2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1:30" ht="23" x14ac:dyDescent="0.15">
      <c r="A79" s="2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1:30" ht="23" x14ac:dyDescent="0.15">
      <c r="A80" s="2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1:30" ht="23" x14ac:dyDescent="0.15">
      <c r="A81" s="2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1:30" ht="23" x14ac:dyDescent="0.15">
      <c r="A82" s="2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1:30" ht="23" x14ac:dyDescent="0.15">
      <c r="A83" s="2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1:30" ht="23" x14ac:dyDescent="0.15">
      <c r="A84" s="2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1:30" ht="23" x14ac:dyDescent="0.15">
      <c r="A85" s="2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1:30" ht="23" x14ac:dyDescent="0.15">
      <c r="A86" s="2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1:30" ht="23" x14ac:dyDescent="0.15">
      <c r="A87" s="2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1:30" ht="23" x14ac:dyDescent="0.15">
      <c r="A88" s="2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1:30" ht="23" x14ac:dyDescent="0.15">
      <c r="A89" s="2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1:30" ht="23" x14ac:dyDescent="0.15">
      <c r="A90" s="2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1:30" ht="23" x14ac:dyDescent="0.15">
      <c r="A91" s="2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1:30" ht="23" x14ac:dyDescent="0.15">
      <c r="A92" s="2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1:30" ht="23" x14ac:dyDescent="0.15">
      <c r="A93" s="2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1:30" ht="23" x14ac:dyDescent="0.15">
      <c r="A94" s="2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1:30" ht="23" x14ac:dyDescent="0.15">
      <c r="A95" s="2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1:30" ht="23" x14ac:dyDescent="0.15">
      <c r="A96" s="2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1:30" ht="23" x14ac:dyDescent="0.15">
      <c r="A97" s="2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1:30" ht="23" x14ac:dyDescent="0.15">
      <c r="A98" s="2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1:30" ht="23" x14ac:dyDescent="0.15">
      <c r="A99" s="2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1:30" ht="23" x14ac:dyDescent="0.15">
      <c r="A100" s="2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1:30" ht="23" x14ac:dyDescent="0.15">
      <c r="A101" s="2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1:30" ht="23" x14ac:dyDescent="0.15">
      <c r="A102" s="2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1:30" ht="23" x14ac:dyDescent="0.15">
      <c r="A103" s="2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1:30" ht="23" x14ac:dyDescent="0.15">
      <c r="A104" s="2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1:30" ht="23" x14ac:dyDescent="0.15">
      <c r="A105" s="2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1:30" ht="23" x14ac:dyDescent="0.15">
      <c r="A106" s="2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1:30" ht="23" x14ac:dyDescent="0.15">
      <c r="A107" s="2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1:30" ht="23" x14ac:dyDescent="0.15">
      <c r="A108" s="2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1:30" ht="23" x14ac:dyDescent="0.15">
      <c r="A109" s="2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1:30" ht="23" x14ac:dyDescent="0.15">
      <c r="A110" s="2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1:30" ht="23" x14ac:dyDescent="0.15">
      <c r="A111" s="2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1:30" ht="23" x14ac:dyDescent="0.15">
      <c r="A112" s="2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1:30" ht="23" x14ac:dyDescent="0.15">
      <c r="A113" s="2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1:30" ht="23" x14ac:dyDescent="0.15">
      <c r="A114" s="2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1:30" ht="23" x14ac:dyDescent="0.15">
      <c r="A115" s="2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1:30" ht="23" x14ac:dyDescent="0.15">
      <c r="A116" s="2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1:30" ht="23" x14ac:dyDescent="0.15">
      <c r="A117" s="2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1:30" ht="23" x14ac:dyDescent="0.15">
      <c r="A118" s="2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1:30" ht="23" x14ac:dyDescent="0.15">
      <c r="A119" s="2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1:30" ht="23" x14ac:dyDescent="0.15">
      <c r="A120" s="2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1:30" ht="23" x14ac:dyDescent="0.15">
      <c r="A121" s="2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1:30" ht="23" x14ac:dyDescent="0.15">
      <c r="A122" s="2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1:30" ht="23" x14ac:dyDescent="0.15">
      <c r="A123" s="2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1:30" ht="23" x14ac:dyDescent="0.15">
      <c r="A124" s="2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1:30" ht="23" x14ac:dyDescent="0.15">
      <c r="A125" s="2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1:30" ht="23" x14ac:dyDescent="0.15">
      <c r="A126" s="2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1:30" ht="23" x14ac:dyDescent="0.15">
      <c r="A127" s="2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1:30" ht="23" x14ac:dyDescent="0.15">
      <c r="A128" s="2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spans="1:30" ht="23" x14ac:dyDescent="0.15">
      <c r="A129" s="2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spans="1:30" ht="23" x14ac:dyDescent="0.15">
      <c r="A130" s="2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spans="1:30" ht="23" x14ac:dyDescent="0.15">
      <c r="A131" s="2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spans="1:30" ht="23" x14ac:dyDescent="0.15">
      <c r="A132" s="2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spans="1:30" ht="23" x14ac:dyDescent="0.15">
      <c r="A133" s="2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spans="1:30" ht="23" x14ac:dyDescent="0.15">
      <c r="A134" s="2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spans="1:30" ht="23" x14ac:dyDescent="0.15">
      <c r="A135" s="2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spans="1:30" ht="23" x14ac:dyDescent="0.15">
      <c r="A136" s="2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spans="1:30" ht="23" x14ac:dyDescent="0.15">
      <c r="A137" s="2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spans="1:30" ht="23" x14ac:dyDescent="0.15">
      <c r="A138" s="2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spans="1:30" ht="23" x14ac:dyDescent="0.15">
      <c r="A139" s="2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spans="1:30" ht="23" x14ac:dyDescent="0.15">
      <c r="A140" s="2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spans="1:30" ht="23" x14ac:dyDescent="0.15">
      <c r="A141" s="2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spans="1:30" ht="23" x14ac:dyDescent="0.15">
      <c r="A142" s="2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spans="1:30" ht="23" x14ac:dyDescent="0.15">
      <c r="A143" s="2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spans="1:30" ht="23" x14ac:dyDescent="0.15">
      <c r="A144" s="2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spans="1:30" ht="23" x14ac:dyDescent="0.15">
      <c r="A145" s="2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spans="1:30" ht="23" x14ac:dyDescent="0.15">
      <c r="A146" s="2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spans="1:30" ht="23" x14ac:dyDescent="0.15">
      <c r="A147" s="2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spans="1:30" ht="23" x14ac:dyDescent="0.15">
      <c r="A148" s="2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spans="1:30" ht="23" x14ac:dyDescent="0.15">
      <c r="A149" s="2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spans="1:30" ht="23" x14ac:dyDescent="0.15">
      <c r="A150" s="2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spans="1:30" ht="23" x14ac:dyDescent="0.15">
      <c r="A151" s="2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spans="1:30" ht="23" x14ac:dyDescent="0.15">
      <c r="A152" s="2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spans="1:30" ht="23" x14ac:dyDescent="0.15">
      <c r="A153" s="2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spans="1:30" ht="23" x14ac:dyDescent="0.15">
      <c r="A154" s="2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spans="1:30" ht="23" x14ac:dyDescent="0.15">
      <c r="A155" s="2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spans="1:30" ht="23" x14ac:dyDescent="0.15">
      <c r="A156" s="2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spans="1:30" ht="23" x14ac:dyDescent="0.15">
      <c r="A157" s="2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spans="1:30" ht="23" x14ac:dyDescent="0.15">
      <c r="A158" s="2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spans="1:30" ht="23" x14ac:dyDescent="0.15">
      <c r="A159" s="2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spans="1:30" ht="23" x14ac:dyDescent="0.15">
      <c r="A160" s="2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spans="1:30" ht="23" x14ac:dyDescent="0.15">
      <c r="A161" s="2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spans="1:30" ht="23" x14ac:dyDescent="0.15">
      <c r="A162" s="2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spans="1:30" ht="23" x14ac:dyDescent="0.15">
      <c r="A163" s="2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spans="1:30" ht="23" x14ac:dyDescent="0.15">
      <c r="A164" s="2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spans="1:30" ht="23" x14ac:dyDescent="0.15">
      <c r="A165" s="2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spans="1:30" ht="23" x14ac:dyDescent="0.15">
      <c r="A166" s="2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spans="1:30" ht="23" x14ac:dyDescent="0.15">
      <c r="A167" s="2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spans="1:30" ht="23" x14ac:dyDescent="0.15">
      <c r="A168" s="2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spans="1:30" ht="23" x14ac:dyDescent="0.15">
      <c r="A169" s="2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spans="1:30" ht="23" x14ac:dyDescent="0.15">
      <c r="A170" s="2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spans="1:30" ht="23" x14ac:dyDescent="0.15">
      <c r="A171" s="2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spans="1:30" ht="23" x14ac:dyDescent="0.15">
      <c r="A172" s="2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spans="1:30" ht="23" x14ac:dyDescent="0.15">
      <c r="A173" s="2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spans="1:30" ht="23" x14ac:dyDescent="0.15">
      <c r="A174" s="2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spans="1:30" ht="23" x14ac:dyDescent="0.15">
      <c r="A175" s="2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spans="1:30" ht="23" x14ac:dyDescent="0.15">
      <c r="A176" s="2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spans="1:30" ht="23" x14ac:dyDescent="0.15">
      <c r="A177" s="2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spans="1:30" ht="23" x14ac:dyDescent="0.15">
      <c r="A178" s="2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spans="1:30" ht="23" x14ac:dyDescent="0.15">
      <c r="A179" s="2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spans="1:30" ht="23" x14ac:dyDescent="0.15">
      <c r="A180" s="2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spans="1:30" ht="23" x14ac:dyDescent="0.15">
      <c r="A181" s="2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spans="1:30" ht="23" x14ac:dyDescent="0.15">
      <c r="A182" s="2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spans="1:30" ht="23" x14ac:dyDescent="0.15">
      <c r="A183" s="2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spans="1:30" ht="23" x14ac:dyDescent="0.15">
      <c r="A184" s="2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spans="1:30" ht="23" x14ac:dyDescent="0.15">
      <c r="A185" s="2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spans="1:30" ht="23" x14ac:dyDescent="0.15">
      <c r="A186" s="2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spans="1:30" ht="23" x14ac:dyDescent="0.15">
      <c r="A187" s="2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spans="1:30" ht="23" x14ac:dyDescent="0.15">
      <c r="A188" s="2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spans="1:30" ht="23" x14ac:dyDescent="0.15">
      <c r="A189" s="2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spans="1:30" ht="23" x14ac:dyDescent="0.15">
      <c r="A190" s="2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spans="1:30" ht="23" x14ac:dyDescent="0.15">
      <c r="A191" s="2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spans="1:30" ht="23" x14ac:dyDescent="0.15">
      <c r="A192" s="2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spans="1:30" ht="23" x14ac:dyDescent="0.15">
      <c r="A193" s="2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spans="1:30" ht="23" x14ac:dyDescent="0.15">
      <c r="A194" s="2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spans="1:30" ht="23" x14ac:dyDescent="0.15">
      <c r="A195" s="2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spans="1:30" ht="23" x14ac:dyDescent="0.15">
      <c r="A196" s="2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spans="1:30" ht="23" x14ac:dyDescent="0.15">
      <c r="A197" s="2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spans="1:30" ht="23" x14ac:dyDescent="0.15">
      <c r="A198" s="2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spans="1:30" ht="23" x14ac:dyDescent="0.15">
      <c r="A199" s="2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spans="1:30" ht="23" x14ac:dyDescent="0.15">
      <c r="A200" s="2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spans="1:30" ht="23" x14ac:dyDescent="0.15">
      <c r="A201" s="2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spans="1:30" ht="23" x14ac:dyDescent="0.15">
      <c r="A202" s="2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spans="1:30" ht="23" x14ac:dyDescent="0.15">
      <c r="A203" s="2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spans="1:30" ht="23" x14ac:dyDescent="0.15">
      <c r="A204" s="2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spans="1:30" ht="23" x14ac:dyDescent="0.15">
      <c r="A205" s="2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spans="1:30" ht="23" x14ac:dyDescent="0.15">
      <c r="A206" s="2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spans="1:30" ht="23" x14ac:dyDescent="0.15">
      <c r="A207" s="2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spans="1:30" ht="23" x14ac:dyDescent="0.15">
      <c r="A208" s="2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spans="1:30" ht="23" x14ac:dyDescent="0.15">
      <c r="A209" s="2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spans="1:30" ht="23" x14ac:dyDescent="0.15">
      <c r="A210" s="2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spans="1:30" ht="23" x14ac:dyDescent="0.15">
      <c r="A211" s="2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spans="1:30" ht="23" x14ac:dyDescent="0.15">
      <c r="A212" s="2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spans="1:30" ht="23" x14ac:dyDescent="0.15">
      <c r="A213" s="2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spans="1:30" ht="23" x14ac:dyDescent="0.15">
      <c r="A214" s="2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spans="1:30" ht="23" x14ac:dyDescent="0.15">
      <c r="A215" s="2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spans="1:30" ht="23" x14ac:dyDescent="0.15">
      <c r="A216" s="2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spans="1:30" ht="23" x14ac:dyDescent="0.15">
      <c r="A217" s="2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spans="1:30" ht="23" x14ac:dyDescent="0.15">
      <c r="A218" s="2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spans="1:30" ht="23" x14ac:dyDescent="0.15">
      <c r="A219" s="2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spans="1:30" ht="23" x14ac:dyDescent="0.15">
      <c r="A220" s="2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spans="1:30" ht="23" x14ac:dyDescent="0.15">
      <c r="A221" s="2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spans="1:30" ht="23" x14ac:dyDescent="0.15">
      <c r="A222" s="2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spans="1:30" ht="23" x14ac:dyDescent="0.15">
      <c r="A223" s="2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spans="1:30" ht="23" x14ac:dyDescent="0.15">
      <c r="A224" s="2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spans="1:30" ht="23" x14ac:dyDescent="0.15">
      <c r="A225" s="2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spans="1:30" ht="23" x14ac:dyDescent="0.15">
      <c r="A226" s="2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</row>
    <row r="227" spans="1:30" ht="23" x14ac:dyDescent="0.15">
      <c r="A227" s="2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</row>
    <row r="228" spans="1:30" ht="23" x14ac:dyDescent="0.15">
      <c r="A228" s="2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</row>
    <row r="229" spans="1:30" ht="23" x14ac:dyDescent="0.15">
      <c r="A229" s="2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</row>
    <row r="230" spans="1:30" ht="23" x14ac:dyDescent="0.15">
      <c r="A230" s="2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</row>
    <row r="231" spans="1:30" ht="23" x14ac:dyDescent="0.15">
      <c r="A231" s="2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</row>
    <row r="232" spans="1:30" ht="23" x14ac:dyDescent="0.15">
      <c r="A232" s="2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</row>
    <row r="233" spans="1:30" ht="23" x14ac:dyDescent="0.15">
      <c r="A233" s="2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</row>
    <row r="234" spans="1:30" ht="23" x14ac:dyDescent="0.15">
      <c r="A234" s="2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</row>
    <row r="235" spans="1:30" ht="23" x14ac:dyDescent="0.15">
      <c r="A235" s="2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</row>
    <row r="236" spans="1:30" ht="23" x14ac:dyDescent="0.15">
      <c r="A236" s="2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</row>
    <row r="237" spans="1:30" ht="23" x14ac:dyDescent="0.15">
      <c r="A237" s="2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</row>
    <row r="238" spans="1:30" ht="23" x14ac:dyDescent="0.15">
      <c r="A238" s="2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</row>
    <row r="239" spans="1:30" ht="23" x14ac:dyDescent="0.15">
      <c r="A239" s="2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</row>
    <row r="240" spans="1:30" ht="23" x14ac:dyDescent="0.15">
      <c r="A240" s="2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</row>
    <row r="241" spans="1:30" ht="23" x14ac:dyDescent="0.15">
      <c r="A241" s="2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</row>
    <row r="242" spans="1:30" ht="23" x14ac:dyDescent="0.15">
      <c r="A242" s="2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</row>
    <row r="243" spans="1:30" ht="23" x14ac:dyDescent="0.15">
      <c r="A243" s="2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</row>
    <row r="244" spans="1:30" ht="23" x14ac:dyDescent="0.15">
      <c r="A244" s="2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</row>
    <row r="245" spans="1:30" ht="23" x14ac:dyDescent="0.15">
      <c r="A245" s="2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</row>
    <row r="246" spans="1:30" ht="23" x14ac:dyDescent="0.15">
      <c r="A246" s="2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</row>
    <row r="247" spans="1:30" ht="23" x14ac:dyDescent="0.15">
      <c r="A247" s="2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</row>
    <row r="248" spans="1:30" ht="23" x14ac:dyDescent="0.15">
      <c r="A248" s="2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</row>
    <row r="249" spans="1:30" ht="23" x14ac:dyDescent="0.15">
      <c r="A249" s="2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</row>
    <row r="250" spans="1:30" ht="23" x14ac:dyDescent="0.15">
      <c r="A250" s="2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</row>
    <row r="251" spans="1:30" ht="23" x14ac:dyDescent="0.15">
      <c r="A251" s="2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</row>
    <row r="252" spans="1:30" ht="23" x14ac:dyDescent="0.15">
      <c r="A252" s="2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</row>
    <row r="253" spans="1:30" ht="23" x14ac:dyDescent="0.15">
      <c r="A253" s="2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</row>
    <row r="254" spans="1:30" ht="23" x14ac:dyDescent="0.15">
      <c r="A254" s="2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</row>
    <row r="255" spans="1:30" ht="23" x14ac:dyDescent="0.15">
      <c r="A255" s="2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</row>
    <row r="256" spans="1:30" ht="23" x14ac:dyDescent="0.15">
      <c r="A256" s="2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</row>
    <row r="257" spans="1:30" ht="23" x14ac:dyDescent="0.15">
      <c r="A257" s="2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</row>
    <row r="258" spans="1:30" ht="23" x14ac:dyDescent="0.15">
      <c r="A258" s="2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</row>
    <row r="259" spans="1:30" ht="23" x14ac:dyDescent="0.15">
      <c r="A259" s="2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</row>
    <row r="260" spans="1:30" ht="23" x14ac:dyDescent="0.15">
      <c r="A260" s="2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</row>
    <row r="261" spans="1:30" ht="23" x14ac:dyDescent="0.15">
      <c r="A261" s="2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</row>
    <row r="262" spans="1:30" ht="23" x14ac:dyDescent="0.15">
      <c r="A262" s="2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</row>
    <row r="263" spans="1:30" ht="23" x14ac:dyDescent="0.15">
      <c r="A263" s="2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</row>
    <row r="264" spans="1:30" ht="23" x14ac:dyDescent="0.15">
      <c r="A264" s="2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</row>
    <row r="265" spans="1:30" ht="23" x14ac:dyDescent="0.15">
      <c r="A265" s="2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</row>
    <row r="266" spans="1:30" ht="23" x14ac:dyDescent="0.15">
      <c r="A266" s="2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</row>
    <row r="267" spans="1:30" ht="23" x14ac:dyDescent="0.15">
      <c r="A267" s="2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</row>
    <row r="268" spans="1:30" ht="23" x14ac:dyDescent="0.15">
      <c r="A268" s="2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</row>
    <row r="269" spans="1:30" ht="23" x14ac:dyDescent="0.15">
      <c r="A269" s="2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</row>
    <row r="270" spans="1:30" ht="23" x14ac:dyDescent="0.15">
      <c r="A270" s="2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</row>
    <row r="271" spans="1:30" ht="23" x14ac:dyDescent="0.15">
      <c r="A271" s="2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</row>
    <row r="272" spans="1:30" ht="23" x14ac:dyDescent="0.15">
      <c r="A272" s="2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</row>
    <row r="273" spans="1:30" ht="23" x14ac:dyDescent="0.15">
      <c r="A273" s="2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</row>
    <row r="274" spans="1:30" ht="23" x14ac:dyDescent="0.15">
      <c r="A274" s="2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</row>
    <row r="275" spans="1:30" ht="23" x14ac:dyDescent="0.15">
      <c r="A275" s="2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</row>
    <row r="276" spans="1:30" ht="23" x14ac:dyDescent="0.15">
      <c r="A276" s="2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</row>
    <row r="277" spans="1:30" ht="23" x14ac:dyDescent="0.15">
      <c r="A277" s="2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</row>
    <row r="278" spans="1:30" ht="23" x14ac:dyDescent="0.15">
      <c r="A278" s="2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</row>
    <row r="279" spans="1:30" ht="23" x14ac:dyDescent="0.15">
      <c r="A279" s="2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</row>
    <row r="280" spans="1:30" ht="23" x14ac:dyDescent="0.15">
      <c r="A280" s="2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</row>
    <row r="281" spans="1:30" ht="23" x14ac:dyDescent="0.15">
      <c r="A281" s="2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</row>
    <row r="282" spans="1:30" ht="23" x14ac:dyDescent="0.15">
      <c r="A282" s="2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</row>
    <row r="283" spans="1:30" ht="23" x14ac:dyDescent="0.15">
      <c r="A283" s="2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</row>
    <row r="284" spans="1:30" ht="23" x14ac:dyDescent="0.15">
      <c r="A284" s="2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</row>
    <row r="285" spans="1:30" ht="23" x14ac:dyDescent="0.15">
      <c r="A285" s="2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</row>
    <row r="286" spans="1:30" ht="23" x14ac:dyDescent="0.15">
      <c r="A286" s="2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</row>
    <row r="287" spans="1:30" ht="23" x14ac:dyDescent="0.15">
      <c r="A287" s="2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</row>
    <row r="288" spans="1:30" ht="23" x14ac:dyDescent="0.15">
      <c r="A288" s="2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</row>
    <row r="289" spans="1:30" ht="23" x14ac:dyDescent="0.15">
      <c r="A289" s="2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</row>
    <row r="290" spans="1:30" ht="23" x14ac:dyDescent="0.15">
      <c r="A290" s="2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</row>
    <row r="291" spans="1:30" ht="23" x14ac:dyDescent="0.15">
      <c r="A291" s="2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</row>
    <row r="292" spans="1:30" ht="23" x14ac:dyDescent="0.15">
      <c r="A292" s="2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</row>
    <row r="293" spans="1:30" ht="23" x14ac:dyDescent="0.15">
      <c r="A293" s="2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</row>
    <row r="294" spans="1:30" ht="23" x14ac:dyDescent="0.15">
      <c r="A294" s="2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</row>
    <row r="295" spans="1:30" ht="23" x14ac:dyDescent="0.15">
      <c r="A295" s="2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</row>
    <row r="296" spans="1:30" ht="23" x14ac:dyDescent="0.15">
      <c r="A296" s="2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</row>
    <row r="297" spans="1:30" ht="23" x14ac:dyDescent="0.15">
      <c r="A297" s="2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</row>
    <row r="298" spans="1:30" ht="23" x14ac:dyDescent="0.15">
      <c r="A298" s="2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</row>
    <row r="299" spans="1:30" ht="23" x14ac:dyDescent="0.15">
      <c r="A299" s="2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</row>
    <row r="300" spans="1:30" ht="23" x14ac:dyDescent="0.15">
      <c r="A300" s="2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</row>
    <row r="301" spans="1:30" ht="23" x14ac:dyDescent="0.15">
      <c r="A301" s="2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</row>
    <row r="302" spans="1:30" ht="23" x14ac:dyDescent="0.15">
      <c r="A302" s="2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</row>
    <row r="303" spans="1:30" ht="23" x14ac:dyDescent="0.15">
      <c r="A303" s="2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</row>
    <row r="304" spans="1:30" ht="23" x14ac:dyDescent="0.15">
      <c r="A304" s="2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</row>
    <row r="305" spans="1:30" ht="23" x14ac:dyDescent="0.15">
      <c r="A305" s="2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</row>
    <row r="306" spans="1:30" ht="23" x14ac:dyDescent="0.15">
      <c r="A306" s="2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</row>
    <row r="307" spans="1:30" ht="23" x14ac:dyDescent="0.15">
      <c r="A307" s="2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</row>
    <row r="308" spans="1:30" ht="23" x14ac:dyDescent="0.15">
      <c r="A308" s="2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</row>
    <row r="309" spans="1:30" ht="23" x14ac:dyDescent="0.15">
      <c r="A309" s="2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</row>
    <row r="310" spans="1:30" ht="23" x14ac:dyDescent="0.15">
      <c r="A310" s="2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</row>
    <row r="311" spans="1:30" ht="23" x14ac:dyDescent="0.15">
      <c r="A311" s="2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</row>
    <row r="312" spans="1:30" ht="23" x14ac:dyDescent="0.15">
      <c r="A312" s="2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</row>
    <row r="313" spans="1:30" ht="23" x14ac:dyDescent="0.15">
      <c r="A313" s="2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</row>
    <row r="314" spans="1:30" ht="23" x14ac:dyDescent="0.15">
      <c r="A314" s="2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</row>
    <row r="315" spans="1:30" ht="23" x14ac:dyDescent="0.15">
      <c r="A315" s="2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</row>
    <row r="316" spans="1:30" ht="23" x14ac:dyDescent="0.15">
      <c r="A316" s="2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</row>
    <row r="317" spans="1:30" ht="23" x14ac:dyDescent="0.15">
      <c r="A317" s="2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</row>
    <row r="318" spans="1:30" ht="23" x14ac:dyDescent="0.15">
      <c r="A318" s="2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</row>
    <row r="319" spans="1:30" ht="23" x14ac:dyDescent="0.15">
      <c r="A319" s="2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</row>
    <row r="320" spans="1:30" ht="23" x14ac:dyDescent="0.15">
      <c r="A320" s="2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</row>
    <row r="321" spans="1:30" ht="23" x14ac:dyDescent="0.15">
      <c r="A321" s="2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</row>
    <row r="322" spans="1:30" ht="23" x14ac:dyDescent="0.15">
      <c r="A322" s="2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</row>
    <row r="323" spans="1:30" ht="23" x14ac:dyDescent="0.15">
      <c r="A323" s="2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</row>
    <row r="324" spans="1:30" ht="23" x14ac:dyDescent="0.15">
      <c r="A324" s="2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</row>
    <row r="325" spans="1:30" ht="23" x14ac:dyDescent="0.15">
      <c r="A325" s="2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</row>
    <row r="326" spans="1:30" ht="23" x14ac:dyDescent="0.15">
      <c r="A326" s="2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</row>
    <row r="327" spans="1:30" ht="23" x14ac:dyDescent="0.15">
      <c r="A327" s="2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</row>
    <row r="328" spans="1:30" ht="23" x14ac:dyDescent="0.15">
      <c r="A328" s="2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</row>
    <row r="329" spans="1:30" ht="23" x14ac:dyDescent="0.15">
      <c r="A329" s="2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</row>
    <row r="330" spans="1:30" ht="23" x14ac:dyDescent="0.15">
      <c r="A330" s="2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</row>
    <row r="331" spans="1:30" ht="23" x14ac:dyDescent="0.15">
      <c r="A331" s="2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</row>
    <row r="332" spans="1:30" ht="23" x14ac:dyDescent="0.15">
      <c r="A332" s="2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</row>
    <row r="333" spans="1:30" ht="23" x14ac:dyDescent="0.15">
      <c r="A333" s="2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</row>
    <row r="334" spans="1:30" ht="23" x14ac:dyDescent="0.15">
      <c r="A334" s="2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</row>
    <row r="335" spans="1:30" ht="23" x14ac:dyDescent="0.15">
      <c r="A335" s="2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</row>
    <row r="336" spans="1:30" ht="23" x14ac:dyDescent="0.15">
      <c r="A336" s="2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</row>
    <row r="337" spans="1:30" ht="23" x14ac:dyDescent="0.15">
      <c r="A337" s="2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</row>
    <row r="338" spans="1:30" ht="23" x14ac:dyDescent="0.15">
      <c r="A338" s="2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</row>
    <row r="339" spans="1:30" ht="23" x14ac:dyDescent="0.15">
      <c r="A339" s="2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</row>
    <row r="340" spans="1:30" ht="23" x14ac:dyDescent="0.15">
      <c r="A340" s="2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</row>
    <row r="341" spans="1:30" ht="23" x14ac:dyDescent="0.15">
      <c r="A341" s="2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</row>
    <row r="342" spans="1:30" ht="23" x14ac:dyDescent="0.15">
      <c r="A342" s="2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</row>
    <row r="343" spans="1:30" ht="23" x14ac:dyDescent="0.15">
      <c r="A343" s="2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</row>
    <row r="344" spans="1:30" ht="23" x14ac:dyDescent="0.15">
      <c r="A344" s="2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</row>
    <row r="345" spans="1:30" ht="23" x14ac:dyDescent="0.15">
      <c r="A345" s="2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</row>
    <row r="346" spans="1:30" ht="23" x14ac:dyDescent="0.15">
      <c r="A346" s="2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</row>
    <row r="347" spans="1:30" ht="23" x14ac:dyDescent="0.15">
      <c r="A347" s="2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</row>
    <row r="348" spans="1:30" ht="23" x14ac:dyDescent="0.15">
      <c r="A348" s="2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</row>
    <row r="349" spans="1:30" ht="23" x14ac:dyDescent="0.15">
      <c r="A349" s="2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</row>
    <row r="350" spans="1:30" ht="23" x14ac:dyDescent="0.15">
      <c r="A350" s="2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</row>
    <row r="351" spans="1:30" ht="23" x14ac:dyDescent="0.15">
      <c r="A351" s="2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</row>
    <row r="352" spans="1:30" ht="23" x14ac:dyDescent="0.15">
      <c r="A352" s="2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</row>
    <row r="353" spans="1:30" ht="23" x14ac:dyDescent="0.15">
      <c r="A353" s="2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</row>
    <row r="354" spans="1:30" ht="23" x14ac:dyDescent="0.15">
      <c r="A354" s="2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</row>
    <row r="355" spans="1:30" ht="23" x14ac:dyDescent="0.15">
      <c r="A355" s="2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</row>
    <row r="356" spans="1:30" ht="23" x14ac:dyDescent="0.15">
      <c r="A356" s="2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</row>
    <row r="357" spans="1:30" ht="23" x14ac:dyDescent="0.15">
      <c r="A357" s="2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</row>
    <row r="358" spans="1:30" ht="23" x14ac:dyDescent="0.15">
      <c r="A358" s="2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</row>
    <row r="359" spans="1:30" ht="23" x14ac:dyDescent="0.15">
      <c r="A359" s="2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</row>
    <row r="360" spans="1:30" ht="23" x14ac:dyDescent="0.15">
      <c r="A360" s="2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</row>
    <row r="361" spans="1:30" ht="23" x14ac:dyDescent="0.15">
      <c r="A361" s="2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</row>
    <row r="362" spans="1:30" ht="23" x14ac:dyDescent="0.15">
      <c r="A362" s="2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</row>
    <row r="363" spans="1:30" ht="23" x14ac:dyDescent="0.15">
      <c r="A363" s="2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</row>
    <row r="364" spans="1:30" ht="23" x14ac:dyDescent="0.15">
      <c r="A364" s="2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</row>
    <row r="365" spans="1:30" ht="23" x14ac:dyDescent="0.15">
      <c r="A365" s="2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</row>
    <row r="366" spans="1:30" ht="23" x14ac:dyDescent="0.15">
      <c r="A366" s="2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</row>
    <row r="367" spans="1:30" ht="23" x14ac:dyDescent="0.15">
      <c r="A367" s="2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</row>
    <row r="368" spans="1:30" ht="23" x14ac:dyDescent="0.15">
      <c r="A368" s="2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</row>
    <row r="369" spans="1:30" ht="23" x14ac:dyDescent="0.15">
      <c r="A369" s="2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</row>
    <row r="370" spans="1:30" ht="23" x14ac:dyDescent="0.15">
      <c r="A370" s="2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</row>
    <row r="371" spans="1:30" ht="23" x14ac:dyDescent="0.15">
      <c r="A371" s="2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</row>
    <row r="372" spans="1:30" ht="23" x14ac:dyDescent="0.15">
      <c r="A372" s="2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</row>
    <row r="373" spans="1:30" ht="23" x14ac:dyDescent="0.15">
      <c r="A373" s="2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</row>
    <row r="374" spans="1:30" ht="23" x14ac:dyDescent="0.15">
      <c r="A374" s="2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</row>
    <row r="375" spans="1:30" ht="23" x14ac:dyDescent="0.15">
      <c r="A375" s="2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</row>
    <row r="376" spans="1:30" ht="23" x14ac:dyDescent="0.15">
      <c r="A376" s="2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</row>
    <row r="377" spans="1:30" ht="23" x14ac:dyDescent="0.15">
      <c r="A377" s="2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</row>
    <row r="378" spans="1:30" ht="23" x14ac:dyDescent="0.15">
      <c r="A378" s="2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</row>
    <row r="379" spans="1:30" ht="23" x14ac:dyDescent="0.15">
      <c r="A379" s="2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</row>
    <row r="380" spans="1:30" ht="23" x14ac:dyDescent="0.15">
      <c r="A380" s="2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</row>
    <row r="381" spans="1:30" ht="23" x14ac:dyDescent="0.15">
      <c r="A381" s="2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</row>
    <row r="382" spans="1:30" ht="23" x14ac:dyDescent="0.15">
      <c r="A382" s="2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</row>
    <row r="383" spans="1:30" ht="23" x14ac:dyDescent="0.15">
      <c r="A383" s="2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</row>
    <row r="384" spans="1:30" ht="23" x14ac:dyDescent="0.15">
      <c r="A384" s="2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</row>
    <row r="385" spans="1:30" ht="23" x14ac:dyDescent="0.15">
      <c r="A385" s="2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</row>
    <row r="386" spans="1:30" ht="23" x14ac:dyDescent="0.15">
      <c r="A386" s="2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</row>
    <row r="387" spans="1:30" ht="23" x14ac:dyDescent="0.15">
      <c r="A387" s="2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</row>
    <row r="388" spans="1:30" ht="23" x14ac:dyDescent="0.15">
      <c r="A388" s="2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</row>
    <row r="389" spans="1:30" ht="23" x14ac:dyDescent="0.15">
      <c r="A389" s="2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</row>
    <row r="390" spans="1:30" ht="23" x14ac:dyDescent="0.15">
      <c r="A390" s="2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</row>
    <row r="391" spans="1:30" ht="23" x14ac:dyDescent="0.15">
      <c r="A391" s="2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</row>
    <row r="392" spans="1:30" ht="23" x14ac:dyDescent="0.15">
      <c r="A392" s="2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</row>
    <row r="393" spans="1:30" ht="23" x14ac:dyDescent="0.15">
      <c r="A393" s="2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</row>
    <row r="394" spans="1:30" ht="23" x14ac:dyDescent="0.15">
      <c r="A394" s="2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</row>
    <row r="395" spans="1:30" ht="23" x14ac:dyDescent="0.15">
      <c r="A395" s="2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</row>
    <row r="396" spans="1:30" ht="23" x14ac:dyDescent="0.15">
      <c r="A396" s="2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</row>
    <row r="397" spans="1:30" ht="23" x14ac:dyDescent="0.15">
      <c r="A397" s="2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</row>
    <row r="398" spans="1:30" ht="23" x14ac:dyDescent="0.15">
      <c r="A398" s="2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</row>
    <row r="399" spans="1:30" ht="23" x14ac:dyDescent="0.15">
      <c r="A399" s="2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</row>
    <row r="400" spans="1:30" ht="23" x14ac:dyDescent="0.15">
      <c r="A400" s="2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</row>
    <row r="401" spans="1:30" ht="23" x14ac:dyDescent="0.15">
      <c r="A401" s="2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</row>
    <row r="402" spans="1:30" ht="23" x14ac:dyDescent="0.15">
      <c r="A402" s="2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</row>
    <row r="403" spans="1:30" ht="23" x14ac:dyDescent="0.15">
      <c r="A403" s="2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</row>
    <row r="404" spans="1:30" ht="23" x14ac:dyDescent="0.15">
      <c r="A404" s="2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</row>
    <row r="405" spans="1:30" ht="23" x14ac:dyDescent="0.15">
      <c r="A405" s="2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</row>
    <row r="406" spans="1:30" ht="23" x14ac:dyDescent="0.15">
      <c r="A406" s="2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</row>
    <row r="407" spans="1:30" ht="23" x14ac:dyDescent="0.15">
      <c r="A407" s="2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</row>
    <row r="408" spans="1:30" ht="23" x14ac:dyDescent="0.15">
      <c r="A408" s="2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</row>
    <row r="409" spans="1:30" ht="23" x14ac:dyDescent="0.15">
      <c r="A409" s="2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</row>
    <row r="410" spans="1:30" ht="23" x14ac:dyDescent="0.15">
      <c r="A410" s="2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</row>
    <row r="411" spans="1:30" ht="23" x14ac:dyDescent="0.15">
      <c r="A411" s="2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</row>
    <row r="412" spans="1:30" ht="23" x14ac:dyDescent="0.15">
      <c r="A412" s="2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</row>
    <row r="413" spans="1:30" ht="23" x14ac:dyDescent="0.15">
      <c r="A413" s="2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</row>
    <row r="414" spans="1:30" ht="23" x14ac:dyDescent="0.15">
      <c r="A414" s="2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</row>
    <row r="415" spans="1:30" ht="23" x14ac:dyDescent="0.15">
      <c r="A415" s="2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</row>
    <row r="416" spans="1:30" ht="23" x14ac:dyDescent="0.15">
      <c r="A416" s="2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</row>
    <row r="417" spans="1:30" ht="23" x14ac:dyDescent="0.15">
      <c r="A417" s="2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</row>
    <row r="418" spans="1:30" ht="23" x14ac:dyDescent="0.15">
      <c r="A418" s="2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</row>
    <row r="419" spans="1:30" ht="23" x14ac:dyDescent="0.15">
      <c r="A419" s="2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</row>
    <row r="420" spans="1:30" ht="23" x14ac:dyDescent="0.15">
      <c r="A420" s="2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</row>
    <row r="421" spans="1:30" ht="23" x14ac:dyDescent="0.15">
      <c r="A421" s="2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</row>
    <row r="422" spans="1:30" ht="23" x14ac:dyDescent="0.15">
      <c r="A422" s="2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</row>
    <row r="423" spans="1:30" ht="23" x14ac:dyDescent="0.15">
      <c r="A423" s="2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</row>
    <row r="424" spans="1:30" ht="23" x14ac:dyDescent="0.15">
      <c r="A424" s="2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</row>
    <row r="425" spans="1:30" ht="23" x14ac:dyDescent="0.15">
      <c r="A425" s="2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</row>
    <row r="426" spans="1:30" ht="23" x14ac:dyDescent="0.15">
      <c r="A426" s="2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</row>
    <row r="427" spans="1:30" ht="23" x14ac:dyDescent="0.15">
      <c r="A427" s="2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</row>
    <row r="428" spans="1:30" ht="23" x14ac:dyDescent="0.15">
      <c r="A428" s="2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</row>
    <row r="429" spans="1:30" ht="23" x14ac:dyDescent="0.15">
      <c r="A429" s="2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</row>
    <row r="430" spans="1:30" ht="23" x14ac:dyDescent="0.15">
      <c r="A430" s="2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</row>
    <row r="431" spans="1:30" ht="23" x14ac:dyDescent="0.15">
      <c r="A431" s="2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</row>
    <row r="432" spans="1:30" ht="23" x14ac:dyDescent="0.15">
      <c r="A432" s="2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</row>
    <row r="433" spans="1:30" ht="23" x14ac:dyDescent="0.15">
      <c r="A433" s="2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</row>
    <row r="434" spans="1:30" ht="23" x14ac:dyDescent="0.15">
      <c r="A434" s="2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</row>
    <row r="435" spans="1:30" ht="23" x14ac:dyDescent="0.15">
      <c r="A435" s="2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</row>
    <row r="436" spans="1:30" ht="23" x14ac:dyDescent="0.15">
      <c r="A436" s="2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</row>
    <row r="437" spans="1:30" ht="23" x14ac:dyDescent="0.15">
      <c r="A437" s="2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</row>
    <row r="438" spans="1:30" ht="23" x14ac:dyDescent="0.15">
      <c r="A438" s="2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</row>
    <row r="439" spans="1:30" ht="23" x14ac:dyDescent="0.15">
      <c r="A439" s="2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</row>
    <row r="440" spans="1:30" ht="23" x14ac:dyDescent="0.15">
      <c r="A440" s="2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</row>
    <row r="441" spans="1:30" ht="23" x14ac:dyDescent="0.15">
      <c r="A441" s="2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</row>
    <row r="442" spans="1:30" ht="23" x14ac:dyDescent="0.15">
      <c r="A442" s="2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</row>
    <row r="443" spans="1:30" ht="23" x14ac:dyDescent="0.15">
      <c r="A443" s="2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</row>
    <row r="444" spans="1:30" ht="23" x14ac:dyDescent="0.15">
      <c r="A444" s="2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</row>
    <row r="445" spans="1:30" ht="23" x14ac:dyDescent="0.15">
      <c r="A445" s="2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</row>
    <row r="446" spans="1:30" ht="23" x14ac:dyDescent="0.15">
      <c r="A446" s="2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</row>
    <row r="447" spans="1:30" ht="23" x14ac:dyDescent="0.15">
      <c r="A447" s="2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</row>
    <row r="448" spans="1:30" ht="23" x14ac:dyDescent="0.15">
      <c r="A448" s="2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</row>
    <row r="449" spans="1:30" ht="23" x14ac:dyDescent="0.15">
      <c r="A449" s="2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</row>
    <row r="450" spans="1:30" ht="23" x14ac:dyDescent="0.15">
      <c r="A450" s="2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</row>
    <row r="451" spans="1:30" ht="23" x14ac:dyDescent="0.15">
      <c r="A451" s="2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</row>
    <row r="452" spans="1:30" ht="23" x14ac:dyDescent="0.15">
      <c r="A452" s="2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</row>
    <row r="453" spans="1:30" ht="23" x14ac:dyDescent="0.15">
      <c r="A453" s="2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</row>
    <row r="454" spans="1:30" ht="23" x14ac:dyDescent="0.15">
      <c r="A454" s="2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</row>
    <row r="455" spans="1:30" ht="23" x14ac:dyDescent="0.15">
      <c r="A455" s="2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</row>
    <row r="456" spans="1:30" ht="23" x14ac:dyDescent="0.15">
      <c r="A456" s="2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</row>
    <row r="457" spans="1:30" ht="23" x14ac:dyDescent="0.15">
      <c r="A457" s="2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</row>
    <row r="458" spans="1:30" ht="23" x14ac:dyDescent="0.15">
      <c r="A458" s="2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</row>
    <row r="459" spans="1:30" ht="23" x14ac:dyDescent="0.15">
      <c r="A459" s="2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</row>
    <row r="460" spans="1:30" ht="23" x14ac:dyDescent="0.15">
      <c r="A460" s="2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</row>
    <row r="461" spans="1:30" ht="23" x14ac:dyDescent="0.15">
      <c r="A461" s="2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</row>
    <row r="462" spans="1:30" ht="23" x14ac:dyDescent="0.15">
      <c r="A462" s="2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</row>
    <row r="463" spans="1:30" ht="23" x14ac:dyDescent="0.15">
      <c r="A463" s="2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</row>
    <row r="464" spans="1:30" ht="23" x14ac:dyDescent="0.15">
      <c r="A464" s="2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</row>
    <row r="465" spans="1:30" ht="23" x14ac:dyDescent="0.15">
      <c r="A465" s="2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</row>
    <row r="466" spans="1:30" ht="23" x14ac:dyDescent="0.15">
      <c r="A466" s="2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</row>
    <row r="467" spans="1:30" ht="23" x14ac:dyDescent="0.15">
      <c r="A467" s="2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</row>
    <row r="468" spans="1:30" ht="23" x14ac:dyDescent="0.15">
      <c r="A468" s="2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</row>
    <row r="469" spans="1:30" ht="23" x14ac:dyDescent="0.15">
      <c r="A469" s="2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</row>
    <row r="470" spans="1:30" ht="23" x14ac:dyDescent="0.15">
      <c r="A470" s="2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</row>
    <row r="471" spans="1:30" ht="23" x14ac:dyDescent="0.15">
      <c r="A471" s="2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</row>
    <row r="472" spans="1:30" ht="23" x14ac:dyDescent="0.15">
      <c r="A472" s="2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</row>
    <row r="473" spans="1:30" ht="23" x14ac:dyDescent="0.15">
      <c r="A473" s="2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</row>
    <row r="474" spans="1:30" ht="23" x14ac:dyDescent="0.15">
      <c r="A474" s="2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</row>
    <row r="475" spans="1:30" ht="23" x14ac:dyDescent="0.15">
      <c r="A475" s="2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</row>
    <row r="476" spans="1:30" ht="23" x14ac:dyDescent="0.15">
      <c r="A476" s="2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</row>
    <row r="477" spans="1:30" ht="23" x14ac:dyDescent="0.15">
      <c r="A477" s="2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</row>
    <row r="478" spans="1:30" ht="23" x14ac:dyDescent="0.15">
      <c r="A478" s="2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</row>
    <row r="479" spans="1:30" ht="23" x14ac:dyDescent="0.15">
      <c r="A479" s="2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</row>
    <row r="480" spans="1:30" ht="23" x14ac:dyDescent="0.15">
      <c r="A480" s="2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</row>
    <row r="481" spans="1:30" ht="23" x14ac:dyDescent="0.15">
      <c r="A481" s="2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</row>
    <row r="482" spans="1:30" ht="23" x14ac:dyDescent="0.15">
      <c r="A482" s="2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</row>
    <row r="483" spans="1:30" ht="23" x14ac:dyDescent="0.15">
      <c r="A483" s="2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</row>
    <row r="484" spans="1:30" ht="23" x14ac:dyDescent="0.15">
      <c r="A484" s="2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</row>
    <row r="485" spans="1:30" ht="23" x14ac:dyDescent="0.15">
      <c r="A485" s="2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</row>
    <row r="486" spans="1:30" ht="23" x14ac:dyDescent="0.15">
      <c r="A486" s="2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</row>
    <row r="487" spans="1:30" ht="23" x14ac:dyDescent="0.15">
      <c r="A487" s="2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</row>
    <row r="488" spans="1:30" ht="23" x14ac:dyDescent="0.15">
      <c r="A488" s="2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</row>
    <row r="489" spans="1:30" ht="23" x14ac:dyDescent="0.15">
      <c r="A489" s="2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</row>
    <row r="490" spans="1:30" ht="23" x14ac:dyDescent="0.15">
      <c r="A490" s="2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</row>
    <row r="491" spans="1:30" ht="23" x14ac:dyDescent="0.15">
      <c r="A491" s="2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</row>
    <row r="492" spans="1:30" ht="23" x14ac:dyDescent="0.15">
      <c r="A492" s="2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</row>
    <row r="493" spans="1:30" ht="23" x14ac:dyDescent="0.15">
      <c r="A493" s="2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</row>
    <row r="494" spans="1:30" ht="23" x14ac:dyDescent="0.15">
      <c r="A494" s="2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</row>
    <row r="495" spans="1:30" ht="23" x14ac:dyDescent="0.15">
      <c r="A495" s="2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</row>
    <row r="496" spans="1:30" ht="23" x14ac:dyDescent="0.15">
      <c r="A496" s="2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</row>
    <row r="497" spans="1:30" ht="23" x14ac:dyDescent="0.15">
      <c r="A497" s="2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</row>
    <row r="498" spans="1:30" ht="23" x14ac:dyDescent="0.15">
      <c r="A498" s="2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</row>
    <row r="499" spans="1:30" ht="23" x14ac:dyDescent="0.15">
      <c r="A499" s="2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</row>
    <row r="500" spans="1:30" ht="23" x14ac:dyDescent="0.15">
      <c r="A500" s="2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</row>
    <row r="501" spans="1:30" ht="23" x14ac:dyDescent="0.15">
      <c r="A501" s="2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</row>
    <row r="502" spans="1:30" ht="23" x14ac:dyDescent="0.15">
      <c r="A502" s="2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</row>
    <row r="503" spans="1:30" ht="23" x14ac:dyDescent="0.15">
      <c r="A503" s="2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</row>
    <row r="504" spans="1:30" ht="23" x14ac:dyDescent="0.15">
      <c r="A504" s="2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</row>
    <row r="505" spans="1:30" ht="23" x14ac:dyDescent="0.15">
      <c r="A505" s="2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</row>
    <row r="506" spans="1:30" ht="23" x14ac:dyDescent="0.15">
      <c r="A506" s="2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</row>
    <row r="507" spans="1:30" ht="23" x14ac:dyDescent="0.15">
      <c r="A507" s="2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</row>
    <row r="508" spans="1:30" ht="23" x14ac:dyDescent="0.15">
      <c r="A508" s="2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</row>
    <row r="509" spans="1:30" ht="23" x14ac:dyDescent="0.15">
      <c r="A509" s="2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</row>
    <row r="510" spans="1:30" ht="23" x14ac:dyDescent="0.15">
      <c r="A510" s="2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</row>
    <row r="511" spans="1:30" ht="23" x14ac:dyDescent="0.15">
      <c r="A511" s="2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</row>
    <row r="512" spans="1:30" ht="23" x14ac:dyDescent="0.15">
      <c r="A512" s="2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</row>
    <row r="513" spans="1:30" ht="23" x14ac:dyDescent="0.15">
      <c r="A513" s="2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</row>
    <row r="514" spans="1:30" ht="23" x14ac:dyDescent="0.15">
      <c r="A514" s="2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</row>
    <row r="515" spans="1:30" ht="23" x14ac:dyDescent="0.15">
      <c r="A515" s="2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</row>
    <row r="516" spans="1:30" ht="23" x14ac:dyDescent="0.15">
      <c r="A516" s="2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</row>
    <row r="517" spans="1:30" ht="23" x14ac:dyDescent="0.15">
      <c r="A517" s="2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</row>
    <row r="518" spans="1:30" ht="23" x14ac:dyDescent="0.15">
      <c r="A518" s="2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</row>
    <row r="519" spans="1:30" ht="23" x14ac:dyDescent="0.15">
      <c r="A519" s="2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</row>
    <row r="520" spans="1:30" ht="23" x14ac:dyDescent="0.15">
      <c r="A520" s="2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</row>
    <row r="521" spans="1:30" ht="23" x14ac:dyDescent="0.15">
      <c r="A521" s="2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</row>
    <row r="522" spans="1:30" ht="23" x14ac:dyDescent="0.15">
      <c r="A522" s="2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</row>
    <row r="523" spans="1:30" ht="23" x14ac:dyDescent="0.15">
      <c r="A523" s="2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</row>
    <row r="524" spans="1:30" ht="23" x14ac:dyDescent="0.15">
      <c r="A524" s="2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</row>
    <row r="525" spans="1:30" ht="23" x14ac:dyDescent="0.15">
      <c r="A525" s="2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</row>
    <row r="526" spans="1:30" ht="23" x14ac:dyDescent="0.15">
      <c r="A526" s="2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</row>
    <row r="527" spans="1:30" ht="23" x14ac:dyDescent="0.15">
      <c r="A527" s="2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</row>
    <row r="528" spans="1:30" ht="23" x14ac:dyDescent="0.15">
      <c r="A528" s="2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</row>
    <row r="529" spans="1:30" ht="23" x14ac:dyDescent="0.15">
      <c r="A529" s="2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</row>
    <row r="530" spans="1:30" ht="23" x14ac:dyDescent="0.15">
      <c r="A530" s="2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</row>
    <row r="531" spans="1:30" ht="23" x14ac:dyDescent="0.15">
      <c r="A531" s="2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</row>
    <row r="532" spans="1:30" ht="23" x14ac:dyDescent="0.15">
      <c r="A532" s="2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</row>
    <row r="533" spans="1:30" ht="23" x14ac:dyDescent="0.15">
      <c r="A533" s="2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</row>
    <row r="534" spans="1:30" ht="23" x14ac:dyDescent="0.15">
      <c r="A534" s="2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</row>
    <row r="535" spans="1:30" ht="23" x14ac:dyDescent="0.15">
      <c r="A535" s="2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</row>
    <row r="536" spans="1:30" ht="23" x14ac:dyDescent="0.15">
      <c r="A536" s="2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</row>
    <row r="537" spans="1:30" ht="23" x14ac:dyDescent="0.15">
      <c r="A537" s="2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</row>
    <row r="538" spans="1:30" ht="23" x14ac:dyDescent="0.15">
      <c r="A538" s="2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</row>
    <row r="539" spans="1:30" ht="23" x14ac:dyDescent="0.15">
      <c r="A539" s="2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</row>
    <row r="540" spans="1:30" ht="23" x14ac:dyDescent="0.15">
      <c r="A540" s="2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</row>
    <row r="541" spans="1:30" ht="23" x14ac:dyDescent="0.15">
      <c r="A541" s="2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</row>
    <row r="542" spans="1:30" ht="23" x14ac:dyDescent="0.15">
      <c r="A542" s="2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</row>
    <row r="543" spans="1:30" ht="23" x14ac:dyDescent="0.15">
      <c r="A543" s="2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</row>
    <row r="544" spans="1:30" ht="23" x14ac:dyDescent="0.15">
      <c r="A544" s="2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</row>
    <row r="545" spans="1:30" ht="23" x14ac:dyDescent="0.15">
      <c r="A545" s="2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</row>
    <row r="546" spans="1:30" ht="23" x14ac:dyDescent="0.15">
      <c r="A546" s="2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</row>
    <row r="547" spans="1:30" ht="23" x14ac:dyDescent="0.15">
      <c r="A547" s="2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</row>
    <row r="548" spans="1:30" ht="23" x14ac:dyDescent="0.15">
      <c r="A548" s="2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</row>
    <row r="549" spans="1:30" ht="23" x14ac:dyDescent="0.15">
      <c r="A549" s="2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</row>
    <row r="550" spans="1:30" ht="23" x14ac:dyDescent="0.15">
      <c r="A550" s="2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</row>
    <row r="551" spans="1:30" ht="23" x14ac:dyDescent="0.15">
      <c r="A551" s="2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</row>
    <row r="552" spans="1:30" ht="23" x14ac:dyDescent="0.15">
      <c r="A552" s="2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</row>
    <row r="553" spans="1:30" ht="23" x14ac:dyDescent="0.15">
      <c r="A553" s="2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</row>
    <row r="554" spans="1:30" ht="23" x14ac:dyDescent="0.15">
      <c r="A554" s="2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</row>
    <row r="555" spans="1:30" ht="23" x14ac:dyDescent="0.15">
      <c r="A555" s="2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</row>
    <row r="556" spans="1:30" ht="23" x14ac:dyDescent="0.15">
      <c r="A556" s="2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</row>
    <row r="557" spans="1:30" ht="23" x14ac:dyDescent="0.15">
      <c r="A557" s="2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</row>
    <row r="558" spans="1:30" ht="23" x14ac:dyDescent="0.15">
      <c r="A558" s="2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</row>
    <row r="559" spans="1:30" ht="23" x14ac:dyDescent="0.15">
      <c r="A559" s="2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</row>
    <row r="560" spans="1:30" ht="23" x14ac:dyDescent="0.15">
      <c r="A560" s="2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</row>
    <row r="561" spans="1:30" ht="23" x14ac:dyDescent="0.15">
      <c r="A561" s="2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</row>
    <row r="562" spans="1:30" ht="23" x14ac:dyDescent="0.15">
      <c r="A562" s="2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</row>
    <row r="563" spans="1:30" ht="23" x14ac:dyDescent="0.15">
      <c r="A563" s="2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</row>
    <row r="564" spans="1:30" ht="23" x14ac:dyDescent="0.15">
      <c r="A564" s="2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</row>
    <row r="565" spans="1:30" ht="23" x14ac:dyDescent="0.15">
      <c r="A565" s="2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</row>
    <row r="566" spans="1:30" ht="23" x14ac:dyDescent="0.15">
      <c r="A566" s="2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</row>
    <row r="567" spans="1:30" ht="23" x14ac:dyDescent="0.15">
      <c r="A567" s="2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</row>
    <row r="568" spans="1:30" ht="23" x14ac:dyDescent="0.15">
      <c r="A568" s="2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</row>
    <row r="569" spans="1:30" ht="23" x14ac:dyDescent="0.15">
      <c r="A569" s="2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</row>
    <row r="570" spans="1:30" ht="23" x14ac:dyDescent="0.15">
      <c r="A570" s="2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</row>
    <row r="571" spans="1:30" ht="23" x14ac:dyDescent="0.15">
      <c r="A571" s="2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</row>
    <row r="572" spans="1:30" ht="23" x14ac:dyDescent="0.15">
      <c r="A572" s="2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</row>
    <row r="573" spans="1:30" ht="23" x14ac:dyDescent="0.15">
      <c r="A573" s="2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</row>
    <row r="574" spans="1:30" ht="23" x14ac:dyDescent="0.15">
      <c r="A574" s="2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</row>
    <row r="575" spans="1:30" ht="23" x14ac:dyDescent="0.15">
      <c r="A575" s="2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</row>
    <row r="576" spans="1:30" ht="23" x14ac:dyDescent="0.15">
      <c r="A576" s="2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</row>
    <row r="577" spans="1:30" ht="23" x14ac:dyDescent="0.15">
      <c r="A577" s="2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</row>
    <row r="578" spans="1:30" ht="23" x14ac:dyDescent="0.15">
      <c r="A578" s="2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</row>
    <row r="579" spans="1:30" ht="23" x14ac:dyDescent="0.15">
      <c r="A579" s="2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</row>
    <row r="580" spans="1:30" ht="23" x14ac:dyDescent="0.15">
      <c r="A580" s="2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</row>
    <row r="581" spans="1:30" ht="23" x14ac:dyDescent="0.15">
      <c r="A581" s="2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</row>
    <row r="582" spans="1:30" ht="23" x14ac:dyDescent="0.15">
      <c r="A582" s="2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</row>
    <row r="583" spans="1:30" ht="23" x14ac:dyDescent="0.15">
      <c r="A583" s="2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</row>
    <row r="584" spans="1:30" ht="23" x14ac:dyDescent="0.15">
      <c r="A584" s="2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</row>
    <row r="585" spans="1:30" ht="23" x14ac:dyDescent="0.15">
      <c r="A585" s="2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</row>
    <row r="586" spans="1:30" ht="23" x14ac:dyDescent="0.15">
      <c r="A586" s="2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</row>
    <row r="587" spans="1:30" ht="23" x14ac:dyDescent="0.15">
      <c r="A587" s="2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</row>
    <row r="588" spans="1:30" ht="23" x14ac:dyDescent="0.15">
      <c r="A588" s="2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</row>
    <row r="589" spans="1:30" ht="23" x14ac:dyDescent="0.15">
      <c r="A589" s="2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</row>
    <row r="590" spans="1:30" ht="23" x14ac:dyDescent="0.15">
      <c r="A590" s="2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</row>
    <row r="591" spans="1:30" ht="23" x14ac:dyDescent="0.15">
      <c r="A591" s="2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</row>
    <row r="592" spans="1:30" ht="23" x14ac:dyDescent="0.15">
      <c r="A592" s="2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</row>
    <row r="593" spans="1:30" ht="23" x14ac:dyDescent="0.15">
      <c r="A593" s="2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</row>
    <row r="594" spans="1:30" ht="23" x14ac:dyDescent="0.15">
      <c r="A594" s="2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</row>
    <row r="595" spans="1:30" ht="23" x14ac:dyDescent="0.15">
      <c r="A595" s="2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</row>
    <row r="596" spans="1:30" ht="23" x14ac:dyDescent="0.15">
      <c r="A596" s="2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</row>
    <row r="597" spans="1:30" ht="23" x14ac:dyDescent="0.15">
      <c r="A597" s="2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</row>
    <row r="598" spans="1:30" ht="23" x14ac:dyDescent="0.15">
      <c r="A598" s="2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</row>
    <row r="599" spans="1:30" ht="23" x14ac:dyDescent="0.15">
      <c r="A599" s="2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</row>
    <row r="600" spans="1:30" ht="23" x14ac:dyDescent="0.15">
      <c r="A600" s="2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</row>
    <row r="601" spans="1:30" ht="23" x14ac:dyDescent="0.15">
      <c r="A601" s="2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</row>
    <row r="602" spans="1:30" ht="23" x14ac:dyDescent="0.15">
      <c r="A602" s="2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</row>
    <row r="603" spans="1:30" ht="23" x14ac:dyDescent="0.15">
      <c r="A603" s="2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</row>
    <row r="604" spans="1:30" ht="23" x14ac:dyDescent="0.15">
      <c r="A604" s="2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</row>
    <row r="605" spans="1:30" ht="23" x14ac:dyDescent="0.15">
      <c r="A605" s="2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</row>
    <row r="606" spans="1:30" ht="23" x14ac:dyDescent="0.15">
      <c r="A606" s="2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</row>
    <row r="607" spans="1:30" ht="23" x14ac:dyDescent="0.15">
      <c r="A607" s="2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</row>
    <row r="608" spans="1:30" ht="23" x14ac:dyDescent="0.15">
      <c r="A608" s="2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</row>
    <row r="609" spans="1:30" ht="23" x14ac:dyDescent="0.15">
      <c r="A609" s="2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</row>
    <row r="610" spans="1:30" ht="23" x14ac:dyDescent="0.15">
      <c r="A610" s="2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</row>
    <row r="611" spans="1:30" ht="23" x14ac:dyDescent="0.15">
      <c r="A611" s="2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</row>
    <row r="612" spans="1:30" ht="23" x14ac:dyDescent="0.15">
      <c r="A612" s="2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</row>
    <row r="613" spans="1:30" ht="23" x14ac:dyDescent="0.15">
      <c r="A613" s="2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</row>
    <row r="614" spans="1:30" ht="23" x14ac:dyDescent="0.15">
      <c r="A614" s="2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</row>
    <row r="615" spans="1:30" ht="23" x14ac:dyDescent="0.15">
      <c r="A615" s="2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</row>
    <row r="616" spans="1:30" ht="23" x14ac:dyDescent="0.15">
      <c r="A616" s="2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</row>
    <row r="617" spans="1:30" ht="23" x14ac:dyDescent="0.15">
      <c r="A617" s="2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</row>
    <row r="618" spans="1:30" ht="23" x14ac:dyDescent="0.15">
      <c r="A618" s="2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</row>
    <row r="619" spans="1:30" ht="23" x14ac:dyDescent="0.15">
      <c r="A619" s="2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</row>
    <row r="620" spans="1:30" ht="23" x14ac:dyDescent="0.15">
      <c r="A620" s="2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</row>
    <row r="621" spans="1:30" ht="23" x14ac:dyDescent="0.15">
      <c r="A621" s="2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</row>
    <row r="622" spans="1:30" ht="23" x14ac:dyDescent="0.15">
      <c r="A622" s="2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</row>
    <row r="623" spans="1:30" ht="23" x14ac:dyDescent="0.15">
      <c r="A623" s="2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</row>
    <row r="624" spans="1:30" ht="23" x14ac:dyDescent="0.15">
      <c r="A624" s="2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</row>
    <row r="625" spans="1:30" ht="23" x14ac:dyDescent="0.15">
      <c r="A625" s="2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</row>
    <row r="626" spans="1:30" ht="23" x14ac:dyDescent="0.15">
      <c r="A626" s="2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</row>
    <row r="627" spans="1:30" ht="23" x14ac:dyDescent="0.15">
      <c r="A627" s="2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</row>
    <row r="628" spans="1:30" ht="23" x14ac:dyDescent="0.15">
      <c r="A628" s="2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</row>
    <row r="629" spans="1:30" ht="23" x14ac:dyDescent="0.15">
      <c r="A629" s="2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</row>
    <row r="630" spans="1:30" ht="23" x14ac:dyDescent="0.15">
      <c r="A630" s="2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</row>
    <row r="631" spans="1:30" ht="23" x14ac:dyDescent="0.15">
      <c r="A631" s="2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</row>
    <row r="632" spans="1:30" ht="23" x14ac:dyDescent="0.15">
      <c r="A632" s="2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</row>
    <row r="633" spans="1:30" ht="23" x14ac:dyDescent="0.15">
      <c r="A633" s="2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</row>
    <row r="634" spans="1:30" ht="23" x14ac:dyDescent="0.15">
      <c r="A634" s="2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</row>
    <row r="635" spans="1:30" ht="23" x14ac:dyDescent="0.15">
      <c r="A635" s="2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</row>
    <row r="636" spans="1:30" ht="23" x14ac:dyDescent="0.15">
      <c r="A636" s="2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</row>
    <row r="637" spans="1:30" ht="23" x14ac:dyDescent="0.15">
      <c r="A637" s="2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</row>
    <row r="638" spans="1:30" ht="23" x14ac:dyDescent="0.15">
      <c r="A638" s="2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</row>
    <row r="639" spans="1:30" ht="23" x14ac:dyDescent="0.15">
      <c r="A639" s="2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</row>
    <row r="640" spans="1:30" ht="23" x14ac:dyDescent="0.15">
      <c r="A640" s="2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</row>
    <row r="641" spans="1:30" ht="23" x14ac:dyDescent="0.15">
      <c r="A641" s="2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</row>
    <row r="642" spans="1:30" ht="23" x14ac:dyDescent="0.15">
      <c r="A642" s="2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</row>
    <row r="643" spans="1:30" ht="23" x14ac:dyDescent="0.15">
      <c r="A643" s="2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</row>
    <row r="644" spans="1:30" ht="23" x14ac:dyDescent="0.15">
      <c r="A644" s="2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</row>
    <row r="645" spans="1:30" ht="23" x14ac:dyDescent="0.15">
      <c r="A645" s="2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</row>
    <row r="646" spans="1:30" ht="23" x14ac:dyDescent="0.15">
      <c r="A646" s="2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</row>
    <row r="647" spans="1:30" ht="23" x14ac:dyDescent="0.15">
      <c r="A647" s="2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</row>
    <row r="648" spans="1:30" ht="23" x14ac:dyDescent="0.15">
      <c r="A648" s="2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</row>
    <row r="649" spans="1:30" ht="23" x14ac:dyDescent="0.15">
      <c r="A649" s="2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</row>
    <row r="650" spans="1:30" ht="23" x14ac:dyDescent="0.15">
      <c r="A650" s="2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</row>
    <row r="651" spans="1:30" ht="23" x14ac:dyDescent="0.15">
      <c r="A651" s="2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</row>
    <row r="652" spans="1:30" ht="23" x14ac:dyDescent="0.15">
      <c r="A652" s="2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</row>
    <row r="653" spans="1:30" ht="23" x14ac:dyDescent="0.15">
      <c r="A653" s="2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</row>
    <row r="654" spans="1:30" ht="23" x14ac:dyDescent="0.15">
      <c r="A654" s="2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</row>
    <row r="655" spans="1:30" ht="23" x14ac:dyDescent="0.15">
      <c r="A655" s="2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</row>
    <row r="656" spans="1:30" ht="23" x14ac:dyDescent="0.15">
      <c r="A656" s="2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</row>
    <row r="657" spans="1:30" ht="23" x14ac:dyDescent="0.15">
      <c r="A657" s="2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</row>
    <row r="658" spans="1:30" ht="23" x14ac:dyDescent="0.15">
      <c r="A658" s="2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</row>
    <row r="659" spans="1:30" ht="23" x14ac:dyDescent="0.15">
      <c r="A659" s="2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</row>
    <row r="660" spans="1:30" ht="23" x14ac:dyDescent="0.15">
      <c r="A660" s="2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</row>
    <row r="661" spans="1:30" ht="23" x14ac:dyDescent="0.15">
      <c r="A661" s="2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</row>
    <row r="662" spans="1:30" ht="23" x14ac:dyDescent="0.15">
      <c r="A662" s="2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</row>
    <row r="663" spans="1:30" ht="23" x14ac:dyDescent="0.15">
      <c r="A663" s="2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</row>
    <row r="664" spans="1:30" ht="23" x14ac:dyDescent="0.15">
      <c r="A664" s="2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</row>
    <row r="665" spans="1:30" ht="23" x14ac:dyDescent="0.15">
      <c r="A665" s="2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</row>
    <row r="666" spans="1:30" ht="23" x14ac:dyDescent="0.15">
      <c r="A666" s="2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</row>
    <row r="667" spans="1:30" ht="23" x14ac:dyDescent="0.15">
      <c r="A667" s="2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</row>
    <row r="668" spans="1:30" ht="23" x14ac:dyDescent="0.15">
      <c r="A668" s="2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</row>
    <row r="669" spans="1:30" ht="23" x14ac:dyDescent="0.15">
      <c r="A669" s="2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</row>
    <row r="670" spans="1:30" ht="23" x14ac:dyDescent="0.15">
      <c r="A670" s="2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</row>
    <row r="671" spans="1:30" ht="23" x14ac:dyDescent="0.15">
      <c r="A671" s="2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</row>
    <row r="672" spans="1:30" ht="23" x14ac:dyDescent="0.15">
      <c r="A672" s="2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</row>
    <row r="673" spans="1:30" ht="23" x14ac:dyDescent="0.15">
      <c r="A673" s="2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</row>
    <row r="674" spans="1:30" ht="23" x14ac:dyDescent="0.15">
      <c r="A674" s="2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</row>
    <row r="675" spans="1:30" ht="23" x14ac:dyDescent="0.15">
      <c r="A675" s="2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</row>
    <row r="676" spans="1:30" ht="23" x14ac:dyDescent="0.15">
      <c r="A676" s="2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</row>
    <row r="677" spans="1:30" ht="23" x14ac:dyDescent="0.15">
      <c r="A677" s="2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</row>
    <row r="678" spans="1:30" ht="23" x14ac:dyDescent="0.15">
      <c r="A678" s="2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</row>
    <row r="679" spans="1:30" ht="23" x14ac:dyDescent="0.15">
      <c r="A679" s="2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</row>
    <row r="680" spans="1:30" ht="23" x14ac:dyDescent="0.15">
      <c r="A680" s="2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</row>
    <row r="681" spans="1:30" ht="23" x14ac:dyDescent="0.15">
      <c r="A681" s="2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</row>
    <row r="682" spans="1:30" ht="23" x14ac:dyDescent="0.15">
      <c r="A682" s="2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</row>
    <row r="683" spans="1:30" ht="23" x14ac:dyDescent="0.15">
      <c r="A683" s="2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</row>
    <row r="684" spans="1:30" ht="23" x14ac:dyDescent="0.15">
      <c r="A684" s="2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</row>
    <row r="685" spans="1:30" ht="23" x14ac:dyDescent="0.15">
      <c r="A685" s="2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</row>
    <row r="686" spans="1:30" ht="23" x14ac:dyDescent="0.15">
      <c r="A686" s="2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</row>
    <row r="687" spans="1:30" ht="23" x14ac:dyDescent="0.15">
      <c r="A687" s="2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</row>
    <row r="688" spans="1:30" ht="23" x14ac:dyDescent="0.15">
      <c r="A688" s="2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</row>
    <row r="689" spans="1:30" ht="23" x14ac:dyDescent="0.15">
      <c r="A689" s="2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</row>
    <row r="690" spans="1:30" ht="23" x14ac:dyDescent="0.15">
      <c r="A690" s="2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</row>
    <row r="691" spans="1:30" ht="23" x14ac:dyDescent="0.15">
      <c r="A691" s="2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</row>
    <row r="692" spans="1:30" ht="23" x14ac:dyDescent="0.15">
      <c r="A692" s="2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</row>
    <row r="693" spans="1:30" ht="23" x14ac:dyDescent="0.15">
      <c r="A693" s="2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</row>
    <row r="694" spans="1:30" ht="23" x14ac:dyDescent="0.15">
      <c r="A694" s="2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</row>
    <row r="695" spans="1:30" ht="23" x14ac:dyDescent="0.15">
      <c r="A695" s="2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</row>
    <row r="696" spans="1:30" ht="23" x14ac:dyDescent="0.15">
      <c r="A696" s="2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</row>
    <row r="697" spans="1:30" ht="23" x14ac:dyDescent="0.15">
      <c r="A697" s="2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</row>
    <row r="698" spans="1:30" ht="23" x14ac:dyDescent="0.15">
      <c r="A698" s="2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</row>
    <row r="699" spans="1:30" ht="23" x14ac:dyDescent="0.15">
      <c r="A699" s="2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</row>
    <row r="700" spans="1:30" ht="23" x14ac:dyDescent="0.15">
      <c r="A700" s="2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</row>
    <row r="701" spans="1:30" ht="23" x14ac:dyDescent="0.15">
      <c r="A701" s="2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</row>
    <row r="702" spans="1:30" ht="23" x14ac:dyDescent="0.15">
      <c r="A702" s="2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</row>
    <row r="703" spans="1:30" ht="23" x14ac:dyDescent="0.15">
      <c r="A703" s="2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</row>
    <row r="704" spans="1:30" ht="23" x14ac:dyDescent="0.15">
      <c r="A704" s="2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</row>
    <row r="705" spans="1:30" ht="23" x14ac:dyDescent="0.15">
      <c r="A705" s="2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</row>
    <row r="706" spans="1:30" ht="23" x14ac:dyDescent="0.15">
      <c r="A706" s="2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</row>
    <row r="707" spans="1:30" ht="23" x14ac:dyDescent="0.15">
      <c r="A707" s="2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</row>
    <row r="708" spans="1:30" ht="23" x14ac:dyDescent="0.15">
      <c r="A708" s="2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</row>
    <row r="709" spans="1:30" ht="23" x14ac:dyDescent="0.15">
      <c r="A709" s="2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</row>
    <row r="710" spans="1:30" ht="23" x14ac:dyDescent="0.15">
      <c r="A710" s="2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</row>
    <row r="711" spans="1:30" ht="23" x14ac:dyDescent="0.15">
      <c r="A711" s="2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</row>
    <row r="712" spans="1:30" ht="23" x14ac:dyDescent="0.15">
      <c r="A712" s="2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</row>
    <row r="713" spans="1:30" ht="23" x14ac:dyDescent="0.15">
      <c r="A713" s="2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</row>
    <row r="714" spans="1:30" ht="23" x14ac:dyDescent="0.15">
      <c r="A714" s="2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</row>
    <row r="715" spans="1:30" ht="23" x14ac:dyDescent="0.15">
      <c r="A715" s="2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</row>
    <row r="716" spans="1:30" ht="23" x14ac:dyDescent="0.15">
      <c r="A716" s="2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</row>
    <row r="717" spans="1:30" ht="23" x14ac:dyDescent="0.15">
      <c r="A717" s="2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</row>
    <row r="718" spans="1:30" ht="23" x14ac:dyDescent="0.15">
      <c r="A718" s="2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</row>
    <row r="719" spans="1:30" ht="23" x14ac:dyDescent="0.15">
      <c r="A719" s="2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</row>
    <row r="720" spans="1:30" ht="23" x14ac:dyDescent="0.15">
      <c r="A720" s="2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</row>
    <row r="721" spans="1:30" ht="23" x14ac:dyDescent="0.15">
      <c r="A721" s="2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</row>
    <row r="722" spans="1:30" ht="23" x14ac:dyDescent="0.15">
      <c r="A722" s="2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</row>
    <row r="723" spans="1:30" ht="23" x14ac:dyDescent="0.15">
      <c r="A723" s="2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</row>
    <row r="724" spans="1:30" ht="23" x14ac:dyDescent="0.15">
      <c r="A724" s="2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</row>
    <row r="725" spans="1:30" ht="23" x14ac:dyDescent="0.15">
      <c r="A725" s="2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</row>
    <row r="726" spans="1:30" ht="23" x14ac:dyDescent="0.15">
      <c r="A726" s="2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</row>
    <row r="727" spans="1:30" ht="23" x14ac:dyDescent="0.15">
      <c r="A727" s="2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</row>
    <row r="728" spans="1:30" ht="23" x14ac:dyDescent="0.15">
      <c r="A728" s="2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</row>
    <row r="729" spans="1:30" ht="23" x14ac:dyDescent="0.15">
      <c r="A729" s="2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</row>
    <row r="730" spans="1:30" ht="23" x14ac:dyDescent="0.15">
      <c r="A730" s="2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</row>
    <row r="731" spans="1:30" ht="23" x14ac:dyDescent="0.15">
      <c r="A731" s="2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</row>
    <row r="732" spans="1:30" ht="23" x14ac:dyDescent="0.15">
      <c r="A732" s="2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</row>
    <row r="733" spans="1:30" ht="23" x14ac:dyDescent="0.15">
      <c r="A733" s="2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</row>
    <row r="734" spans="1:30" ht="23" x14ac:dyDescent="0.15">
      <c r="A734" s="2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</row>
    <row r="735" spans="1:30" ht="23" x14ac:dyDescent="0.15">
      <c r="A735" s="2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</row>
    <row r="736" spans="1:30" ht="23" x14ac:dyDescent="0.15">
      <c r="A736" s="2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</row>
    <row r="737" spans="1:30" ht="23" x14ac:dyDescent="0.15">
      <c r="A737" s="2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</row>
    <row r="738" spans="1:30" ht="23" x14ac:dyDescent="0.15">
      <c r="A738" s="2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</row>
    <row r="739" spans="1:30" ht="23" x14ac:dyDescent="0.15">
      <c r="A739" s="2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</row>
    <row r="740" spans="1:30" ht="23" x14ac:dyDescent="0.15">
      <c r="A740" s="2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</row>
    <row r="741" spans="1:30" ht="23" x14ac:dyDescent="0.15">
      <c r="A741" s="2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</row>
    <row r="742" spans="1:30" ht="23" x14ac:dyDescent="0.15">
      <c r="A742" s="2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</row>
    <row r="743" spans="1:30" ht="23" x14ac:dyDescent="0.15">
      <c r="A743" s="2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</row>
    <row r="744" spans="1:30" ht="23" x14ac:dyDescent="0.15">
      <c r="A744" s="2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</row>
    <row r="745" spans="1:30" ht="23" x14ac:dyDescent="0.15">
      <c r="A745" s="2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</row>
    <row r="746" spans="1:30" ht="23" x14ac:dyDescent="0.15">
      <c r="A746" s="2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</row>
    <row r="747" spans="1:30" ht="23" x14ac:dyDescent="0.15">
      <c r="A747" s="2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</row>
    <row r="748" spans="1:30" ht="23" x14ac:dyDescent="0.15">
      <c r="A748" s="2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</row>
    <row r="749" spans="1:30" ht="23" x14ac:dyDescent="0.15">
      <c r="A749" s="2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</row>
    <row r="750" spans="1:30" ht="23" x14ac:dyDescent="0.15">
      <c r="A750" s="2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</row>
    <row r="751" spans="1:30" ht="23" x14ac:dyDescent="0.15">
      <c r="A751" s="2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</row>
    <row r="752" spans="1:30" ht="23" x14ac:dyDescent="0.15">
      <c r="A752" s="2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</row>
    <row r="753" spans="1:30" ht="23" x14ac:dyDescent="0.15">
      <c r="A753" s="2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</row>
    <row r="754" spans="1:30" ht="23" x14ac:dyDescent="0.15">
      <c r="A754" s="2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</row>
    <row r="755" spans="1:30" ht="23" x14ac:dyDescent="0.15">
      <c r="A755" s="2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</row>
    <row r="756" spans="1:30" ht="23" x14ac:dyDescent="0.15">
      <c r="A756" s="2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</row>
    <row r="757" spans="1:30" ht="23" x14ac:dyDescent="0.15">
      <c r="A757" s="2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</row>
    <row r="758" spans="1:30" ht="23" x14ac:dyDescent="0.15">
      <c r="A758" s="2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</row>
    <row r="759" spans="1:30" ht="23" x14ac:dyDescent="0.15">
      <c r="A759" s="2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</row>
    <row r="760" spans="1:30" ht="23" x14ac:dyDescent="0.15">
      <c r="A760" s="2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</row>
    <row r="761" spans="1:30" ht="23" x14ac:dyDescent="0.15">
      <c r="A761" s="2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</row>
    <row r="762" spans="1:30" ht="23" x14ac:dyDescent="0.15">
      <c r="A762" s="2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</row>
    <row r="763" spans="1:30" ht="23" x14ac:dyDescent="0.15">
      <c r="A763" s="2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</row>
    <row r="764" spans="1:30" ht="23" x14ac:dyDescent="0.15">
      <c r="A764" s="2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</row>
    <row r="765" spans="1:30" ht="23" x14ac:dyDescent="0.15">
      <c r="A765" s="2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</row>
    <row r="766" spans="1:30" ht="23" x14ac:dyDescent="0.15">
      <c r="A766" s="2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</row>
    <row r="767" spans="1:30" ht="23" x14ac:dyDescent="0.15">
      <c r="A767" s="2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</row>
    <row r="768" spans="1:30" ht="23" x14ac:dyDescent="0.15">
      <c r="A768" s="2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</row>
    <row r="769" spans="1:30" ht="23" x14ac:dyDescent="0.15">
      <c r="A769" s="2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</row>
    <row r="770" spans="1:30" ht="23" x14ac:dyDescent="0.15">
      <c r="A770" s="2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</row>
    <row r="771" spans="1:30" ht="23" x14ac:dyDescent="0.15">
      <c r="A771" s="2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</row>
    <row r="772" spans="1:30" ht="23" x14ac:dyDescent="0.15">
      <c r="A772" s="2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</row>
    <row r="773" spans="1:30" ht="23" x14ac:dyDescent="0.15">
      <c r="A773" s="2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</row>
    <row r="774" spans="1:30" ht="23" x14ac:dyDescent="0.15">
      <c r="A774" s="2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</row>
    <row r="775" spans="1:30" ht="23" x14ac:dyDescent="0.15">
      <c r="A775" s="2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</row>
    <row r="776" spans="1:30" ht="23" x14ac:dyDescent="0.15">
      <c r="A776" s="2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</row>
    <row r="777" spans="1:30" ht="23" x14ac:dyDescent="0.15">
      <c r="A777" s="2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</row>
    <row r="778" spans="1:30" ht="23" x14ac:dyDescent="0.15">
      <c r="A778" s="2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</row>
    <row r="779" spans="1:30" ht="23" x14ac:dyDescent="0.15">
      <c r="A779" s="2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</row>
    <row r="780" spans="1:30" ht="23" x14ac:dyDescent="0.15">
      <c r="A780" s="2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</row>
    <row r="781" spans="1:30" ht="23" x14ac:dyDescent="0.15">
      <c r="A781" s="2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</row>
    <row r="782" spans="1:30" ht="23" x14ac:dyDescent="0.15">
      <c r="A782" s="2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</row>
    <row r="783" spans="1:30" ht="23" x14ac:dyDescent="0.15">
      <c r="A783" s="2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</row>
    <row r="784" spans="1:30" ht="23" x14ac:dyDescent="0.15">
      <c r="A784" s="2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</row>
    <row r="785" spans="1:30" ht="23" x14ac:dyDescent="0.15">
      <c r="A785" s="2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</row>
    <row r="786" spans="1:30" ht="23" x14ac:dyDescent="0.15">
      <c r="A786" s="2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</row>
    <row r="787" spans="1:30" ht="23" x14ac:dyDescent="0.15">
      <c r="A787" s="2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</row>
    <row r="788" spans="1:30" ht="23" x14ac:dyDescent="0.15">
      <c r="A788" s="2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</row>
    <row r="789" spans="1:30" ht="23" x14ac:dyDescent="0.15">
      <c r="A789" s="2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</row>
    <row r="790" spans="1:30" ht="23" x14ac:dyDescent="0.15">
      <c r="A790" s="2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</row>
    <row r="791" spans="1:30" ht="23" x14ac:dyDescent="0.15">
      <c r="A791" s="2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</row>
    <row r="792" spans="1:30" ht="23" x14ac:dyDescent="0.15">
      <c r="A792" s="2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</row>
    <row r="793" spans="1:30" ht="23" x14ac:dyDescent="0.15">
      <c r="A793" s="2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</row>
    <row r="794" spans="1:30" ht="23" x14ac:dyDescent="0.15">
      <c r="A794" s="2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</row>
    <row r="795" spans="1:30" ht="23" x14ac:dyDescent="0.15">
      <c r="A795" s="2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</row>
    <row r="796" spans="1:30" ht="23" x14ac:dyDescent="0.15">
      <c r="A796" s="2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</row>
    <row r="797" spans="1:30" ht="23" x14ac:dyDescent="0.15">
      <c r="A797" s="2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</row>
    <row r="798" spans="1:30" ht="23" x14ac:dyDescent="0.15">
      <c r="A798" s="2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</row>
    <row r="799" spans="1:30" ht="23" x14ac:dyDescent="0.15">
      <c r="A799" s="2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</row>
    <row r="800" spans="1:30" ht="23" x14ac:dyDescent="0.15">
      <c r="A800" s="2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</row>
    <row r="801" spans="1:30" ht="23" x14ac:dyDescent="0.15">
      <c r="A801" s="2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</row>
    <row r="802" spans="1:30" ht="23" x14ac:dyDescent="0.15">
      <c r="A802" s="2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</row>
    <row r="803" spans="1:30" ht="23" x14ac:dyDescent="0.15">
      <c r="A803" s="2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</row>
    <row r="804" spans="1:30" ht="23" x14ac:dyDescent="0.15">
      <c r="A804" s="2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</row>
    <row r="805" spans="1:30" ht="23" x14ac:dyDescent="0.15">
      <c r="A805" s="2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</row>
    <row r="806" spans="1:30" ht="23" x14ac:dyDescent="0.15">
      <c r="A806" s="2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</row>
    <row r="807" spans="1:30" ht="23" x14ac:dyDescent="0.15">
      <c r="A807" s="2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</row>
    <row r="808" spans="1:30" ht="23" x14ac:dyDescent="0.15">
      <c r="A808" s="2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</row>
    <row r="809" spans="1:30" ht="23" x14ac:dyDescent="0.15">
      <c r="A809" s="2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</row>
    <row r="810" spans="1:30" ht="23" x14ac:dyDescent="0.15">
      <c r="A810" s="2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</row>
    <row r="811" spans="1:30" ht="23" x14ac:dyDescent="0.15">
      <c r="A811" s="2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</row>
    <row r="812" spans="1:30" ht="23" x14ac:dyDescent="0.15">
      <c r="A812" s="2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</row>
    <row r="813" spans="1:30" ht="23" x14ac:dyDescent="0.15">
      <c r="A813" s="2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</row>
    <row r="814" spans="1:30" ht="23" x14ac:dyDescent="0.15">
      <c r="A814" s="2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</row>
    <row r="815" spans="1:30" ht="23" x14ac:dyDescent="0.15">
      <c r="A815" s="2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</row>
    <row r="816" spans="1:30" ht="23" x14ac:dyDescent="0.15">
      <c r="A816" s="2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</row>
    <row r="817" spans="1:30" ht="23" x14ac:dyDescent="0.15">
      <c r="A817" s="2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</row>
    <row r="818" spans="1:30" ht="23" x14ac:dyDescent="0.15">
      <c r="A818" s="2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</row>
    <row r="819" spans="1:30" ht="23" x14ac:dyDescent="0.15">
      <c r="A819" s="2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</row>
    <row r="820" spans="1:30" ht="23" x14ac:dyDescent="0.15">
      <c r="A820" s="2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</row>
    <row r="821" spans="1:30" ht="23" x14ac:dyDescent="0.15">
      <c r="A821" s="2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</row>
    <row r="822" spans="1:30" ht="23" x14ac:dyDescent="0.15">
      <c r="A822" s="2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</row>
    <row r="823" spans="1:30" ht="23" x14ac:dyDescent="0.15">
      <c r="A823" s="2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</row>
    <row r="824" spans="1:30" ht="23" x14ac:dyDescent="0.15">
      <c r="A824" s="2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</row>
    <row r="825" spans="1:30" ht="23" x14ac:dyDescent="0.15">
      <c r="A825" s="2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</row>
    <row r="826" spans="1:30" ht="23" x14ac:dyDescent="0.15">
      <c r="A826" s="2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</row>
    <row r="827" spans="1:30" ht="23" x14ac:dyDescent="0.15">
      <c r="A827" s="2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</row>
    <row r="828" spans="1:30" ht="23" x14ac:dyDescent="0.15">
      <c r="A828" s="2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</row>
    <row r="829" spans="1:30" ht="23" x14ac:dyDescent="0.15">
      <c r="A829" s="2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</row>
    <row r="830" spans="1:30" ht="23" x14ac:dyDescent="0.15">
      <c r="A830" s="2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</row>
    <row r="831" spans="1:30" ht="23" x14ac:dyDescent="0.15">
      <c r="A831" s="2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</row>
    <row r="832" spans="1:30" ht="23" x14ac:dyDescent="0.15">
      <c r="A832" s="2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</row>
    <row r="833" spans="1:30" ht="23" x14ac:dyDescent="0.15">
      <c r="A833" s="2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</row>
    <row r="834" spans="1:30" ht="23" x14ac:dyDescent="0.15">
      <c r="A834" s="2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</row>
    <row r="835" spans="1:30" ht="23" x14ac:dyDescent="0.15">
      <c r="A835" s="2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</row>
    <row r="836" spans="1:30" ht="23" x14ac:dyDescent="0.15">
      <c r="A836" s="2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</row>
    <row r="837" spans="1:30" ht="23" x14ac:dyDescent="0.15">
      <c r="A837" s="2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</row>
    <row r="838" spans="1:30" ht="23" x14ac:dyDescent="0.15">
      <c r="A838" s="2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</row>
    <row r="839" spans="1:30" ht="23" x14ac:dyDescent="0.15">
      <c r="A839" s="2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</row>
    <row r="840" spans="1:30" ht="23" x14ac:dyDescent="0.15">
      <c r="A840" s="2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</row>
    <row r="841" spans="1:30" ht="23" x14ac:dyDescent="0.15">
      <c r="A841" s="2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</row>
    <row r="842" spans="1:30" ht="23" x14ac:dyDescent="0.15">
      <c r="A842" s="2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</row>
    <row r="843" spans="1:30" ht="23" x14ac:dyDescent="0.15">
      <c r="A843" s="2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</row>
    <row r="844" spans="1:30" ht="23" x14ac:dyDescent="0.15">
      <c r="A844" s="2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</row>
    <row r="845" spans="1:30" ht="23" x14ac:dyDescent="0.15">
      <c r="A845" s="2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</row>
    <row r="846" spans="1:30" ht="23" x14ac:dyDescent="0.15">
      <c r="A846" s="2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</row>
    <row r="847" spans="1:30" ht="23" x14ac:dyDescent="0.15">
      <c r="A847" s="2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</row>
    <row r="848" spans="1:30" ht="23" x14ac:dyDescent="0.15">
      <c r="A848" s="2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</row>
    <row r="849" spans="1:30" ht="23" x14ac:dyDescent="0.15">
      <c r="A849" s="2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</row>
    <row r="850" spans="1:30" ht="23" x14ac:dyDescent="0.15">
      <c r="A850" s="2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</row>
    <row r="851" spans="1:30" ht="23" x14ac:dyDescent="0.15">
      <c r="A851" s="2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</row>
    <row r="852" spans="1:30" ht="23" x14ac:dyDescent="0.15">
      <c r="A852" s="2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</row>
    <row r="853" spans="1:30" ht="23" x14ac:dyDescent="0.15">
      <c r="A853" s="2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</row>
    <row r="854" spans="1:30" ht="23" x14ac:dyDescent="0.15">
      <c r="A854" s="2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</row>
    <row r="855" spans="1:30" ht="23" x14ac:dyDescent="0.15">
      <c r="A855" s="2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</row>
    <row r="856" spans="1:30" ht="23" x14ac:dyDescent="0.15">
      <c r="A856" s="2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</row>
    <row r="857" spans="1:30" ht="23" x14ac:dyDescent="0.15">
      <c r="A857" s="2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</row>
    <row r="858" spans="1:30" ht="23" x14ac:dyDescent="0.15">
      <c r="A858" s="2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</row>
    <row r="859" spans="1:30" ht="23" x14ac:dyDescent="0.15">
      <c r="A859" s="2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</row>
    <row r="860" spans="1:30" ht="23" x14ac:dyDescent="0.15">
      <c r="A860" s="2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</row>
    <row r="861" spans="1:30" ht="23" x14ac:dyDescent="0.15">
      <c r="A861" s="2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</row>
    <row r="862" spans="1:30" ht="23" x14ac:dyDescent="0.15">
      <c r="A862" s="2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</row>
    <row r="863" spans="1:30" ht="23" x14ac:dyDescent="0.15">
      <c r="A863" s="2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</row>
    <row r="864" spans="1:30" ht="23" x14ac:dyDescent="0.15">
      <c r="A864" s="2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</row>
    <row r="865" spans="1:30" ht="23" x14ac:dyDescent="0.15">
      <c r="A865" s="2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</row>
    <row r="866" spans="1:30" ht="23" x14ac:dyDescent="0.15">
      <c r="A866" s="2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</row>
    <row r="867" spans="1:30" ht="23" x14ac:dyDescent="0.15">
      <c r="A867" s="2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</row>
    <row r="868" spans="1:30" ht="23" x14ac:dyDescent="0.15">
      <c r="A868" s="2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</row>
    <row r="869" spans="1:30" ht="23" x14ac:dyDescent="0.15">
      <c r="A869" s="2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</row>
    <row r="870" spans="1:30" ht="23" x14ac:dyDescent="0.15">
      <c r="A870" s="2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</row>
    <row r="871" spans="1:30" ht="23" x14ac:dyDescent="0.15">
      <c r="A871" s="2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</row>
    <row r="872" spans="1:30" ht="23" x14ac:dyDescent="0.15">
      <c r="A872" s="2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</row>
    <row r="873" spans="1:30" ht="23" x14ac:dyDescent="0.15">
      <c r="A873" s="2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</row>
    <row r="874" spans="1:30" ht="23" x14ac:dyDescent="0.15">
      <c r="A874" s="2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</row>
    <row r="875" spans="1:30" ht="23" x14ac:dyDescent="0.15">
      <c r="A875" s="2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</row>
    <row r="876" spans="1:30" ht="23" x14ac:dyDescent="0.15">
      <c r="A876" s="2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</row>
    <row r="877" spans="1:30" ht="23" x14ac:dyDescent="0.15">
      <c r="A877" s="2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</row>
    <row r="878" spans="1:30" ht="23" x14ac:dyDescent="0.15">
      <c r="A878" s="2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</row>
    <row r="879" spans="1:30" ht="23" x14ac:dyDescent="0.15">
      <c r="A879" s="2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</row>
    <row r="880" spans="1:30" ht="23" x14ac:dyDescent="0.15">
      <c r="A880" s="2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</row>
    <row r="881" spans="1:30" ht="23" x14ac:dyDescent="0.15">
      <c r="A881" s="2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</row>
    <row r="882" spans="1:30" ht="23" x14ac:dyDescent="0.15">
      <c r="A882" s="2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</row>
    <row r="883" spans="1:30" ht="23" x14ac:dyDescent="0.15">
      <c r="A883" s="2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</row>
    <row r="884" spans="1:30" ht="23" x14ac:dyDescent="0.15">
      <c r="A884" s="2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</row>
    <row r="885" spans="1:30" ht="23" x14ac:dyDescent="0.15">
      <c r="A885" s="2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</row>
    <row r="886" spans="1:30" ht="23" x14ac:dyDescent="0.15">
      <c r="A886" s="2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</row>
    <row r="887" spans="1:30" ht="23" x14ac:dyDescent="0.15">
      <c r="A887" s="2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</row>
    <row r="888" spans="1:30" ht="23" x14ac:dyDescent="0.15">
      <c r="A888" s="2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</row>
    <row r="889" spans="1:30" ht="23" x14ac:dyDescent="0.15">
      <c r="A889" s="2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</row>
    <row r="890" spans="1:30" ht="23" x14ac:dyDescent="0.15">
      <c r="A890" s="2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</row>
    <row r="891" spans="1:30" ht="23" x14ac:dyDescent="0.15">
      <c r="A891" s="2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</row>
    <row r="892" spans="1:30" ht="23" x14ac:dyDescent="0.15">
      <c r="A892" s="2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</row>
    <row r="893" spans="1:30" ht="23" x14ac:dyDescent="0.15">
      <c r="A893" s="2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</row>
    <row r="894" spans="1:30" ht="23" x14ac:dyDescent="0.15">
      <c r="A894" s="2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</row>
    <row r="895" spans="1:30" ht="23" x14ac:dyDescent="0.15">
      <c r="A895" s="2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</row>
    <row r="896" spans="1:30" ht="23" x14ac:dyDescent="0.15">
      <c r="A896" s="2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</row>
    <row r="897" spans="1:30" ht="23" x14ac:dyDescent="0.15">
      <c r="A897" s="2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</row>
    <row r="898" spans="1:30" ht="23" x14ac:dyDescent="0.15">
      <c r="A898" s="2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</row>
    <row r="899" spans="1:30" ht="23" x14ac:dyDescent="0.15">
      <c r="A899" s="2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</row>
    <row r="900" spans="1:30" ht="23" x14ac:dyDescent="0.15">
      <c r="A900" s="2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</row>
    <row r="901" spans="1:30" ht="23" x14ac:dyDescent="0.15">
      <c r="A901" s="2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</row>
    <row r="902" spans="1:30" ht="23" x14ac:dyDescent="0.15">
      <c r="A902" s="2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</row>
    <row r="903" spans="1:30" ht="23" x14ac:dyDescent="0.15">
      <c r="A903" s="2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</row>
    <row r="904" spans="1:30" ht="23" x14ac:dyDescent="0.15">
      <c r="A904" s="2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</row>
    <row r="905" spans="1:30" ht="23" x14ac:dyDescent="0.15">
      <c r="A905" s="2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</row>
    <row r="906" spans="1:30" ht="23" x14ac:dyDescent="0.15">
      <c r="A906" s="2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</row>
    <row r="907" spans="1:30" ht="23" x14ac:dyDescent="0.15">
      <c r="A907" s="2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</row>
    <row r="908" spans="1:30" ht="23" x14ac:dyDescent="0.15">
      <c r="A908" s="2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</row>
    <row r="909" spans="1:30" ht="23" x14ac:dyDescent="0.15">
      <c r="A909" s="2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</row>
    <row r="910" spans="1:30" ht="23" x14ac:dyDescent="0.15">
      <c r="A910" s="2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</row>
    <row r="911" spans="1:30" ht="23" x14ac:dyDescent="0.15">
      <c r="A911" s="2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</row>
    <row r="912" spans="1:30" ht="23" x14ac:dyDescent="0.15">
      <c r="A912" s="2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</row>
    <row r="913" spans="1:30" ht="23" x14ac:dyDescent="0.15">
      <c r="A913" s="2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</row>
    <row r="914" spans="1:30" ht="23" x14ac:dyDescent="0.15">
      <c r="A914" s="2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</row>
    <row r="915" spans="1:30" ht="23" x14ac:dyDescent="0.15">
      <c r="A915" s="2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</row>
    <row r="916" spans="1:30" ht="23" x14ac:dyDescent="0.15">
      <c r="A916" s="2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</row>
    <row r="917" spans="1:30" ht="23" x14ac:dyDescent="0.15">
      <c r="A917" s="2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</row>
    <row r="918" spans="1:30" ht="23" x14ac:dyDescent="0.15">
      <c r="A918" s="2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</row>
    <row r="919" spans="1:30" ht="23" x14ac:dyDescent="0.15">
      <c r="A919" s="2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</row>
    <row r="920" spans="1:30" ht="23" x14ac:dyDescent="0.15">
      <c r="A920" s="2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</row>
    <row r="921" spans="1:30" ht="23" x14ac:dyDescent="0.15">
      <c r="A921" s="2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</row>
    <row r="922" spans="1:30" ht="23" x14ac:dyDescent="0.15">
      <c r="A922" s="2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</row>
    <row r="923" spans="1:30" ht="23" x14ac:dyDescent="0.15">
      <c r="A923" s="2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</row>
    <row r="924" spans="1:30" ht="23" x14ac:dyDescent="0.15">
      <c r="A924" s="2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</row>
    <row r="925" spans="1:30" ht="23" x14ac:dyDescent="0.15">
      <c r="A925" s="2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</row>
    <row r="926" spans="1:30" ht="23" x14ac:dyDescent="0.15">
      <c r="A926" s="2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</row>
    <row r="927" spans="1:30" ht="23" x14ac:dyDescent="0.15">
      <c r="A927" s="2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</row>
    <row r="928" spans="1:30" ht="23" x14ac:dyDescent="0.15">
      <c r="A928" s="2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</row>
    <row r="929" spans="1:30" ht="23" x14ac:dyDescent="0.15">
      <c r="A929" s="2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</row>
    <row r="930" spans="1:30" ht="23" x14ac:dyDescent="0.15">
      <c r="A930" s="2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</row>
    <row r="931" spans="1:30" ht="23" x14ac:dyDescent="0.15">
      <c r="A931" s="2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</row>
    <row r="932" spans="1:30" ht="23" x14ac:dyDescent="0.15">
      <c r="A932" s="2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</row>
    <row r="933" spans="1:30" ht="23" x14ac:dyDescent="0.15">
      <c r="A933" s="2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</row>
    <row r="934" spans="1:30" ht="23" x14ac:dyDescent="0.15">
      <c r="A934" s="2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</row>
    <row r="935" spans="1:30" ht="23" x14ac:dyDescent="0.15">
      <c r="A935" s="2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</row>
    <row r="936" spans="1:30" ht="23" x14ac:dyDescent="0.15">
      <c r="A936" s="2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</row>
    <row r="937" spans="1:30" ht="23" x14ac:dyDescent="0.15">
      <c r="A937" s="2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</row>
    <row r="938" spans="1:30" ht="23" x14ac:dyDescent="0.15">
      <c r="A938" s="2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</row>
    <row r="939" spans="1:30" ht="23" x14ac:dyDescent="0.15">
      <c r="A939" s="2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</row>
    <row r="940" spans="1:30" ht="23" x14ac:dyDescent="0.15">
      <c r="A940" s="2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</row>
    <row r="941" spans="1:30" ht="23" x14ac:dyDescent="0.15">
      <c r="A941" s="2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</row>
    <row r="942" spans="1:30" ht="23" x14ac:dyDescent="0.15">
      <c r="A942" s="2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</row>
    <row r="943" spans="1:30" ht="23" x14ac:dyDescent="0.15">
      <c r="A943" s="2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</row>
    <row r="944" spans="1:30" ht="23" x14ac:dyDescent="0.15">
      <c r="A944" s="2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</row>
    <row r="945" spans="1:30" ht="23" x14ac:dyDescent="0.15">
      <c r="A945" s="2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</row>
    <row r="946" spans="1:30" ht="23" x14ac:dyDescent="0.15">
      <c r="A946" s="2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</row>
    <row r="947" spans="1:30" ht="23" x14ac:dyDescent="0.15">
      <c r="A947" s="2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</row>
    <row r="948" spans="1:30" ht="23" x14ac:dyDescent="0.15">
      <c r="A948" s="2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</row>
    <row r="949" spans="1:30" ht="23" x14ac:dyDescent="0.15">
      <c r="A949" s="2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</row>
    <row r="950" spans="1:30" ht="23" x14ac:dyDescent="0.15">
      <c r="A950" s="2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</row>
    <row r="951" spans="1:30" ht="23" x14ac:dyDescent="0.15">
      <c r="A951" s="2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</row>
    <row r="952" spans="1:30" ht="23" x14ac:dyDescent="0.15">
      <c r="A952" s="2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</row>
    <row r="953" spans="1:30" ht="23" x14ac:dyDescent="0.15">
      <c r="A953" s="2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</row>
    <row r="954" spans="1:30" ht="23" x14ac:dyDescent="0.15">
      <c r="A954" s="2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</row>
    <row r="955" spans="1:30" ht="23" x14ac:dyDescent="0.15">
      <c r="A955" s="2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</row>
    <row r="956" spans="1:30" ht="23" x14ac:dyDescent="0.15">
      <c r="A956" s="2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</row>
    <row r="957" spans="1:30" ht="23" x14ac:dyDescent="0.15">
      <c r="A957" s="2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</row>
    <row r="958" spans="1:30" ht="23" x14ac:dyDescent="0.15">
      <c r="A958" s="2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</row>
    <row r="959" spans="1:30" ht="23" x14ac:dyDescent="0.15">
      <c r="A959" s="2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</row>
    <row r="960" spans="1:30" ht="23" x14ac:dyDescent="0.15">
      <c r="A960" s="2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</row>
    <row r="961" spans="1:30" ht="23" x14ac:dyDescent="0.15">
      <c r="A961" s="2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</row>
    <row r="962" spans="1:30" ht="23" x14ac:dyDescent="0.15">
      <c r="A962" s="2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</row>
    <row r="963" spans="1:30" ht="23" x14ac:dyDescent="0.15">
      <c r="A963" s="2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</row>
    <row r="964" spans="1:30" ht="23" x14ac:dyDescent="0.15">
      <c r="A964" s="2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</row>
    <row r="965" spans="1:30" ht="23" x14ac:dyDescent="0.15">
      <c r="A965" s="2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</row>
    <row r="966" spans="1:30" ht="23" x14ac:dyDescent="0.15">
      <c r="A966" s="2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</row>
    <row r="967" spans="1:30" ht="23" x14ac:dyDescent="0.15">
      <c r="A967" s="2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</row>
    <row r="968" spans="1:30" ht="23" x14ac:dyDescent="0.15">
      <c r="A968" s="2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</row>
    <row r="969" spans="1:30" ht="23" x14ac:dyDescent="0.15">
      <c r="A969" s="2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</row>
    <row r="970" spans="1:30" ht="23" x14ac:dyDescent="0.15">
      <c r="A970" s="2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</row>
    <row r="971" spans="1:30" ht="23" x14ac:dyDescent="0.15">
      <c r="A971" s="2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</row>
    <row r="972" spans="1:30" ht="23" x14ac:dyDescent="0.15">
      <c r="A972" s="2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</row>
    <row r="973" spans="1:30" ht="23" x14ac:dyDescent="0.15">
      <c r="A973" s="2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</row>
    <row r="974" spans="1:30" ht="23" x14ac:dyDescent="0.15">
      <c r="A974" s="2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</row>
    <row r="975" spans="1:30" ht="23" x14ac:dyDescent="0.15">
      <c r="A975" s="2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</row>
    <row r="976" spans="1:30" ht="23" x14ac:dyDescent="0.15">
      <c r="A976" s="2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</row>
    <row r="977" spans="1:30" ht="23" x14ac:dyDescent="0.15">
      <c r="A977" s="2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</row>
    <row r="978" spans="1:30" ht="23" x14ac:dyDescent="0.15">
      <c r="A978" s="2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</row>
    <row r="979" spans="1:30" ht="23" x14ac:dyDescent="0.15">
      <c r="A979" s="2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</row>
    <row r="980" spans="1:30" ht="23" x14ac:dyDescent="0.15">
      <c r="A980" s="2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</row>
    <row r="981" spans="1:30" ht="23" x14ac:dyDescent="0.15">
      <c r="A981" s="2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</row>
    <row r="982" spans="1:30" ht="23" x14ac:dyDescent="0.15">
      <c r="A982" s="2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</row>
    <row r="983" spans="1:30" ht="23" x14ac:dyDescent="0.15">
      <c r="A983" s="2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</row>
    <row r="984" spans="1:30" ht="23" x14ac:dyDescent="0.15">
      <c r="A984" s="2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</row>
    <row r="985" spans="1:30" ht="23" x14ac:dyDescent="0.15">
      <c r="A985" s="2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</row>
    <row r="986" spans="1:30" ht="23" x14ac:dyDescent="0.15">
      <c r="A986" s="2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</row>
    <row r="987" spans="1:30" ht="23" x14ac:dyDescent="0.15">
      <c r="A987" s="2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</row>
    <row r="988" spans="1:30" ht="23" x14ac:dyDescent="0.15">
      <c r="A988" s="2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</row>
    <row r="989" spans="1:30" ht="23" x14ac:dyDescent="0.15">
      <c r="A989" s="2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</row>
    <row r="990" spans="1:30" ht="23" x14ac:dyDescent="0.15">
      <c r="A990" s="2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</row>
    <row r="991" spans="1:30" ht="23" x14ac:dyDescent="0.15">
      <c r="A991" s="2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</row>
    <row r="992" spans="1:30" ht="23" x14ac:dyDescent="0.15">
      <c r="A992" s="2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</row>
    <row r="993" spans="1:30" ht="23" x14ac:dyDescent="0.15">
      <c r="A993" s="2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</row>
    <row r="994" spans="1:30" ht="23" x14ac:dyDescent="0.15">
      <c r="A994" s="2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</row>
    <row r="995" spans="1:30" ht="23" x14ac:dyDescent="0.15">
      <c r="A995" s="2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</row>
    <row r="996" spans="1:30" ht="23" x14ac:dyDescent="0.15">
      <c r="A996" s="2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</row>
    <row r="997" spans="1:30" ht="23" x14ac:dyDescent="0.15">
      <c r="A997" s="2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</row>
    <row r="998" spans="1:30" ht="23" x14ac:dyDescent="0.15">
      <c r="A998" s="2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</row>
    <row r="999" spans="1:30" ht="23" x14ac:dyDescent="0.15">
      <c r="A999" s="2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</row>
    <row r="1000" spans="1:30" ht="23" x14ac:dyDescent="0.15">
      <c r="A1000" s="2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</row>
    <row r="1001" spans="1:30" ht="23" x14ac:dyDescent="0.15">
      <c r="A1001" s="2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</row>
    <row r="1002" spans="1:30" ht="23" x14ac:dyDescent="0.15">
      <c r="A1002" s="2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</row>
    <row r="1003" spans="1:30" ht="23" x14ac:dyDescent="0.15">
      <c r="A1003" s="2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</row>
    <row r="1004" spans="1:30" ht="23" x14ac:dyDescent="0.15">
      <c r="A1004" s="2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</row>
    <row r="1005" spans="1:30" ht="23" x14ac:dyDescent="0.15">
      <c r="A1005" s="2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</row>
    <row r="1006" spans="1:30" ht="23" x14ac:dyDescent="0.15">
      <c r="A1006" s="2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</row>
    <row r="1007" spans="1:30" ht="23" x14ac:dyDescent="0.15">
      <c r="A1007" s="2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</row>
    <row r="1008" spans="1:30" ht="23" x14ac:dyDescent="0.15">
      <c r="A1008" s="2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</row>
    <row r="1009" spans="1:30" ht="23" x14ac:dyDescent="0.15">
      <c r="A1009" s="2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</row>
    <row r="1010" spans="1:30" ht="23" x14ac:dyDescent="0.15">
      <c r="A1010" s="2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</row>
    <row r="1011" spans="1:30" ht="23" x14ac:dyDescent="0.15">
      <c r="A1011" s="2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</row>
    <row r="1012" spans="1:30" ht="23" x14ac:dyDescent="0.15">
      <c r="A1012" s="2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</row>
    <row r="1013" spans="1:30" ht="23" x14ac:dyDescent="0.15">
      <c r="A1013" s="2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</row>
    <row r="1014" spans="1:30" ht="23" x14ac:dyDescent="0.15">
      <c r="A1014" s="2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</row>
  </sheetData>
  <mergeCells count="22">
    <mergeCell ref="G21:J21"/>
    <mergeCell ref="C31:C32"/>
    <mergeCell ref="D31:G31"/>
    <mergeCell ref="H31:J31"/>
    <mergeCell ref="C21:E21"/>
    <mergeCell ref="C22:E22"/>
    <mergeCell ref="C23:E23"/>
    <mergeCell ref="B33:B45"/>
    <mergeCell ref="C3:J3"/>
    <mergeCell ref="C5:E5"/>
    <mergeCell ref="C17:J17"/>
    <mergeCell ref="C18:E18"/>
    <mergeCell ref="G18:J18"/>
    <mergeCell ref="C20:J20"/>
    <mergeCell ref="K31:L31"/>
    <mergeCell ref="G22:J22"/>
    <mergeCell ref="G23:J23"/>
    <mergeCell ref="G24:J24"/>
    <mergeCell ref="C26:J26"/>
    <mergeCell ref="C27:E27"/>
    <mergeCell ref="C28:E28"/>
    <mergeCell ref="G29:J29"/>
  </mergeCells>
  <conditionalFormatting sqref="D33:G45">
    <cfRule type="colorScale" priority="1">
      <colorScale>
        <cfvo type="min"/>
        <cfvo type="max"/>
        <color rgb="FFF4CCCC"/>
        <color rgb="FFD9EAD3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Transaction Hedging (Receivable</vt:lpstr>
      <vt:lpstr>for_GBPUSD</vt:lpstr>
      <vt:lpstr>fv_put_outlay</vt:lpstr>
      <vt:lpstr>gbpusd_1y_scenario</vt:lpstr>
      <vt:lpstr>hedge_no</vt:lpstr>
      <vt:lpstr>put_price</vt:lpstr>
      <vt:lpstr>recievable</vt:lpstr>
      <vt:lpstr>x_put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Victoria Zheng</dc:creator>
  <cp:lastModifiedBy>Victoria Zheng</cp:lastModifiedBy>
  <dcterms:created xsi:type="dcterms:W3CDTF">2026-04-15T06:32:51Z</dcterms:created>
  <dcterms:modified xsi:type="dcterms:W3CDTF">2026-04-15T06:36:40Z</dcterms:modified>
</cp:coreProperties>
</file>