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ctoria/Downloads/"/>
    </mc:Choice>
  </mc:AlternateContent>
  <xr:revisionPtr revIDLastSave="0" documentId="13_ncr:1_{22F9B405-A9CA-B24C-B445-9854F4E6E742}" xr6:coauthVersionLast="47" xr6:coauthVersionMax="47" xr10:uidLastSave="{00000000-0000-0000-0000-000000000000}"/>
  <bookViews>
    <workbookView xWindow="0" yWindow="0" windowWidth="28800" windowHeight="18000" activeTab="1" xr2:uid="{BD718E2C-7E40-1D4F-B853-64F4CEE7E29E}"/>
  </bookViews>
  <sheets>
    <sheet name="Transaction Hedging (Receivable" sheetId="1" r:id="rId1"/>
    <sheet name="Notes And Assumptions" sheetId="2" r:id="rId2"/>
  </sheets>
  <externalReferences>
    <externalReference r:id="rId3"/>
  </externalReferences>
  <definedNames>
    <definedName name="call_price">'[1]Transaction Hedging (Payables)'!$F$15</definedName>
    <definedName name="call_strike">'[1]Transaction Hedging (Payables)'!$F$14</definedName>
    <definedName name="contract_notional_value_payable">'[1]Transaction Hedging (Payables)'!$F$6</definedName>
    <definedName name="current_spot_price_payable">'[1]Transaction Hedging (Payables)'!$F$7</definedName>
    <definedName name="for_GBPUSD">'Transaction Hedging (Receivable'!$F$12</definedName>
    <definedName name="forward_price_payable">'[1]Transaction Hedging (Payables)'!$F$12</definedName>
    <definedName name="future_spot_price_payable">'[1]Transaction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put_price">'Transaction Hedging (Receivable'!$F$15</definedName>
    <definedName name="rate_uk_1y_payable">'[1]Transaction Hedging (Payables)'!$F$10</definedName>
    <definedName name="rate_us_1y_payable">'[1]Transaction Hedging (Payables)'!$F$9</definedName>
    <definedName name="recievable">'Transaction Hedging (Receivable'!$F$6</definedName>
    <definedName name="x_put">'Transaction Hedging (Receivable'!$F$14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21" i="1"/>
  <c r="F22" i="1" s="1"/>
  <c r="F23" i="1" s="1"/>
  <c r="F24" i="1" s="1"/>
  <c r="F27" i="1"/>
  <c r="F28" i="1" s="1"/>
  <c r="G27" i="1"/>
  <c r="C38" i="1"/>
  <c r="C37" i="1" s="1"/>
  <c r="H38" i="1"/>
  <c r="D39" i="1"/>
  <c r="E39" i="1" s="1"/>
  <c r="H39" i="1"/>
  <c r="C40" i="1"/>
  <c r="H40" i="1" s="1"/>
  <c r="C41" i="1"/>
  <c r="D41" i="1" s="1"/>
  <c r="D37" i="1" l="1"/>
  <c r="H37" i="1"/>
  <c r="C36" i="1"/>
  <c r="J42" i="1"/>
  <c r="J38" i="1"/>
  <c r="J39" i="1"/>
  <c r="G39" i="1" s="1"/>
  <c r="J40" i="1"/>
  <c r="J36" i="1"/>
  <c r="J37" i="1"/>
  <c r="J41" i="1"/>
  <c r="E41" i="1"/>
  <c r="G41" i="1"/>
  <c r="I38" i="1"/>
  <c r="F40" i="1"/>
  <c r="F44" i="1"/>
  <c r="I40" i="1"/>
  <c r="F36" i="1"/>
  <c r="I39" i="1"/>
  <c r="F41" i="1"/>
  <c r="F45" i="1"/>
  <c r="F37" i="1"/>
  <c r="F42" i="1"/>
  <c r="F38" i="1"/>
  <c r="I41" i="1"/>
  <c r="F33" i="1"/>
  <c r="F34" i="1"/>
  <c r="I37" i="1"/>
  <c r="F39" i="1"/>
  <c r="F43" i="1"/>
  <c r="F35" i="1"/>
  <c r="D40" i="1"/>
  <c r="H41" i="1"/>
  <c r="C42" i="1"/>
  <c r="D38" i="1"/>
  <c r="K39" i="1" l="1"/>
  <c r="H36" i="1"/>
  <c r="C35" i="1"/>
  <c r="D36" i="1"/>
  <c r="L41" i="1"/>
  <c r="K41" i="1"/>
  <c r="E38" i="1"/>
  <c r="G38" i="1"/>
  <c r="D42" i="1"/>
  <c r="C43" i="1"/>
  <c r="H42" i="1"/>
  <c r="G40" i="1"/>
  <c r="E40" i="1"/>
  <c r="E37" i="1"/>
  <c r="G37" i="1"/>
  <c r="L39" i="1"/>
  <c r="K40" i="1" l="1"/>
  <c r="L40" i="1"/>
  <c r="E42" i="1"/>
  <c r="G42" i="1"/>
  <c r="I42" i="1"/>
  <c r="K38" i="1"/>
  <c r="L38" i="1"/>
  <c r="K37" i="1"/>
  <c r="L37" i="1"/>
  <c r="E36" i="1"/>
  <c r="G36" i="1"/>
  <c r="I36" i="1"/>
  <c r="H35" i="1"/>
  <c r="C34" i="1"/>
  <c r="D35" i="1"/>
  <c r="J35" i="1"/>
  <c r="H43" i="1"/>
  <c r="D43" i="1"/>
  <c r="C44" i="1"/>
  <c r="J43" i="1"/>
  <c r="G35" i="1" l="1"/>
  <c r="E35" i="1"/>
  <c r="I35" i="1"/>
  <c r="H44" i="1"/>
  <c r="C45" i="1"/>
  <c r="D44" i="1"/>
  <c r="J44" i="1"/>
  <c r="K42" i="1"/>
  <c r="L42" i="1"/>
  <c r="E43" i="1"/>
  <c r="G43" i="1"/>
  <c r="I43" i="1"/>
  <c r="L36" i="1"/>
  <c r="K36" i="1"/>
  <c r="C33" i="1"/>
  <c r="D34" i="1"/>
  <c r="H34" i="1"/>
  <c r="J34" i="1"/>
  <c r="E34" i="1" l="1"/>
  <c r="G34" i="1"/>
  <c r="I34" i="1"/>
  <c r="K43" i="1"/>
  <c r="L43" i="1"/>
  <c r="K35" i="1"/>
  <c r="L35" i="1"/>
  <c r="D33" i="1"/>
  <c r="H33" i="1"/>
  <c r="J33" i="1"/>
  <c r="G44" i="1"/>
  <c r="E44" i="1"/>
  <c r="I44" i="1"/>
  <c r="D45" i="1"/>
  <c r="H45" i="1"/>
  <c r="J45" i="1"/>
  <c r="K44" i="1" l="1"/>
  <c r="L44" i="1"/>
  <c r="G33" i="1"/>
  <c r="E33" i="1"/>
  <c r="I33" i="1"/>
  <c r="E45" i="1"/>
  <c r="G45" i="1"/>
  <c r="I45" i="1"/>
  <c r="L34" i="1"/>
  <c r="K34" i="1"/>
  <c r="F29" i="1" l="1"/>
  <c r="L45" i="1"/>
  <c r="K45" i="1"/>
  <c r="K33" i="1"/>
  <c r="L33" i="1"/>
</calcChain>
</file>

<file path=xl/sharedStrings.xml><?xml version="1.0" encoding="utf-8"?>
<sst xmlns="http://schemas.openxmlformats.org/spreadsheetml/2006/main" count="54" uniqueCount="46">
  <si>
    <t xml:space="preserve"> </t>
  </si>
  <si>
    <t>&lt;-- Better (GBP appreciates)</t>
  </si>
  <si>
    <t>&lt;-- baseline</t>
  </si>
  <si>
    <t>&lt;-- Worse (GBP depreciates)</t>
  </si>
  <si>
    <t>Future Spot Price</t>
  </si>
  <si>
    <t>of Hedges</t>
  </si>
  <si>
    <t>of Hedge / No Hedge</t>
  </si>
  <si>
    <t>3. Option Hedge</t>
  </si>
  <si>
    <t>2. Money Market Hedge</t>
  </si>
  <si>
    <t>1. Forward Hedge
(F - St) x Notional Value</t>
  </si>
  <si>
    <t>1. Forward Hedge</t>
  </si>
  <si>
    <t>0. No Hedge</t>
  </si>
  <si>
    <t>Winner</t>
  </si>
  <si>
    <t>Hedge Profit (Loss) vs. No Hedge</t>
  </si>
  <si>
    <t>In one year, we receive</t>
  </si>
  <si>
    <t>GBP/USD
Spot Exchange Rate
(scenarios in 1 year)</t>
  </si>
  <si>
    <t>&lt;-- LOWEST: variable amount depends on where GBP/USD spot ends up in 1 year</t>
  </si>
  <si>
    <t>[b] Determine 1-year future value equivalent of [a]</t>
  </si>
  <si>
    <r>
      <rPr>
        <sz val="18"/>
        <color theme="1"/>
        <rFont val="Arial"/>
        <family val="2"/>
      </rPr>
      <t xml:space="preserve">[a] Buy </t>
    </r>
    <r>
      <rPr>
        <b/>
        <sz val="18"/>
        <color theme="1"/>
        <rFont val="Arial"/>
        <family val="2"/>
      </rPr>
      <t>puts</t>
    </r>
  </si>
  <si>
    <t xml:space="preserve">&lt;-- LOCKED IN: in one year we will have this amount </t>
  </si>
  <si>
    <t>[c] Invest [b] at the prevailing domestic interest rate</t>
  </si>
  <si>
    <t>[b] Convert [a] into domestic at the current spot exchange</t>
  </si>
  <si>
    <t>[a] Borrow the discounted present value of the foreign receivable</t>
  </si>
  <si>
    <r>
      <rPr>
        <sz val="18"/>
        <color theme="1"/>
        <rFont val="Arial"/>
        <family val="2"/>
      </rPr>
      <t xml:space="preserve">[a] </t>
    </r>
    <r>
      <rPr>
        <b/>
        <sz val="18"/>
        <color theme="1"/>
        <rFont val="Arial"/>
        <family val="2"/>
      </rPr>
      <t>Sell</t>
    </r>
    <r>
      <rPr>
        <sz val="18"/>
        <color theme="1"/>
        <rFont val="Arial"/>
        <family val="2"/>
      </rPr>
      <t xml:space="preserve"> GBP/USD 1-Year Forward</t>
    </r>
  </si>
  <si>
    <t>GBP/USD Put Price</t>
  </si>
  <si>
    <t>GBP/USD Put Strike Price</t>
  </si>
  <si>
    <t>Options</t>
  </si>
  <si>
    <t>GBP/USD 1-Year Forward Exchange Rate</t>
  </si>
  <si>
    <t>Notes</t>
  </si>
  <si>
    <t>Forwards</t>
  </si>
  <si>
    <t>U.K. 1-Year Interest Rate (foreign)</t>
  </si>
  <si>
    <t>Outputs / summary KPIs</t>
  </si>
  <si>
    <t>U.S. 1-Year Interest Rate (domestic)</t>
  </si>
  <si>
    <t>Formulas / intermediate steps</t>
  </si>
  <si>
    <t>Money Market</t>
  </si>
  <si>
    <t>Assumptions</t>
  </si>
  <si>
    <t>Current GBP/USD Spot Exchange Rate</t>
  </si>
  <si>
    <t xml:space="preserve">Inputs / editable variables    </t>
  </si>
  <si>
    <t>1-Year Receivable</t>
  </si>
  <si>
    <t>Key</t>
  </si>
  <si>
    <t xml:space="preserve">Variables </t>
  </si>
  <si>
    <t>Given</t>
  </si>
  <si>
    <t>$4,500,000 receivable in 1 year</t>
  </si>
  <si>
    <r>
      <rPr>
        <b/>
        <sz val="18"/>
        <color theme="1"/>
        <rFont val="Arial"/>
        <family val="2"/>
      </rPr>
      <t xml:space="preserve">Hedging Foreign Currency </t>
    </r>
    <r>
      <rPr>
        <b/>
        <u/>
        <sz val="18"/>
        <color theme="1"/>
        <rFont val="Arial"/>
        <family val="2"/>
      </rPr>
      <t>Receivables</t>
    </r>
  </si>
  <si>
    <t>U.K. 1-Year Interest Rate (foreign) assumed based off average searches</t>
  </si>
  <si>
    <t>U.S. 1-Year Interest Rate (domestic) assumed based off average searches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</si>
</sst>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[$£]#,##0"/>
  </numFmts>
  <fonts count="14" x14ac:knownFonts="1">
    <font>
      <sz val="10"/>
      <color rgb="FF000000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rgb="FF0000FF"/>
      <name val="Arial"/>
      <family val="2"/>
      <scheme val="minor"/>
    </font>
    <font>
      <sz val="10"/>
      <name val="Arial"/>
      <family val="2"/>
    </font>
    <font>
      <b/>
      <sz val="18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0000FF"/>
      <name val="Arial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u/>
      <sz val="18"/>
      <color theme="1"/>
      <name val="Arial"/>
      <family val="2"/>
      <scheme val="minor"/>
    </font>
    <font>
      <b/>
      <sz val="18"/>
      <color theme="1"/>
      <name val="Arial (Body)"/>
    </font>
    <font>
      <b/>
      <sz val="18"/>
      <color rgb="FF000000"/>
      <name val="Inconsolata"/>
    </font>
    <font>
      <b/>
      <u/>
      <sz val="18"/>
      <color theme="1"/>
      <name val="Arial"/>
      <family val="2"/>
    </font>
    <font>
      <sz val="2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6" tint="0.79998168889431442"/>
        <bgColor rgb="FFEAD1DC"/>
      </patternFill>
    </fill>
    <fill>
      <patternFill patternType="solid">
        <fgColor theme="4" tint="0.79998168889431442"/>
        <bgColor rgb="FFEAD1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rgb="FFFFFF00"/>
      </patternFill>
    </fill>
  </fills>
  <borders count="6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000000"/>
      </left>
      <right style="thin">
        <color indexed="64"/>
      </right>
      <top style="thin">
        <color rgb="FFFFFFFF"/>
      </top>
      <bottom/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164" fontId="2" fillId="0" borderId="4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164" fontId="2" fillId="2" borderId="6" xfId="0" applyNumberFormat="1" applyFont="1" applyFill="1" applyBorder="1" applyAlignment="1">
      <alignment vertical="top"/>
    </xf>
    <xf numFmtId="164" fontId="2" fillId="2" borderId="7" xfId="0" applyNumberFormat="1" applyFont="1" applyFill="1" applyBorder="1" applyAlignment="1">
      <alignment vertical="top"/>
    </xf>
    <xf numFmtId="164" fontId="2" fillId="2" borderId="8" xfId="0" applyNumberFormat="1" applyFont="1" applyFill="1" applyBorder="1" applyAlignment="1">
      <alignment vertical="top"/>
    </xf>
    <xf numFmtId="164" fontId="2" fillId="0" borderId="9" xfId="0" applyNumberFormat="1" applyFont="1" applyBorder="1"/>
    <xf numFmtId="164" fontId="2" fillId="0" borderId="7" xfId="0" applyNumberFormat="1" applyFont="1" applyBorder="1"/>
    <xf numFmtId="164" fontId="2" fillId="0" borderId="7" xfId="0" applyNumberFormat="1" applyFont="1" applyBorder="1" applyAlignment="1">
      <alignment vertical="top"/>
    </xf>
    <xf numFmtId="164" fontId="2" fillId="0" borderId="8" xfId="0" applyNumberFormat="1" applyFont="1" applyBorder="1" applyAlignment="1">
      <alignment vertical="top"/>
    </xf>
    <xf numFmtId="165" fontId="1" fillId="3" borderId="10" xfId="0" applyNumberFormat="1" applyFont="1" applyFill="1" applyBorder="1" applyAlignment="1">
      <alignment vertical="top"/>
    </xf>
    <xf numFmtId="0" fontId="3" fillId="0" borderId="11" xfId="0" applyFont="1" applyBorder="1"/>
    <xf numFmtId="0" fontId="4" fillId="0" borderId="0" xfId="0" applyFont="1" applyAlignment="1">
      <alignment horizontal="center" vertical="center" textRotation="90"/>
    </xf>
    <xf numFmtId="164" fontId="2" fillId="0" borderId="12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2" fillId="2" borderId="0" xfId="0" applyNumberFormat="1" applyFont="1" applyFill="1" applyAlignment="1">
      <alignment vertical="top"/>
    </xf>
    <xf numFmtId="164" fontId="2" fillId="2" borderId="13" xfId="0" applyNumberFormat="1" applyFont="1" applyFill="1" applyBorder="1" applyAlignment="1">
      <alignment vertical="top"/>
    </xf>
    <xf numFmtId="164" fontId="2" fillId="0" borderId="14" xfId="0" applyNumberFormat="1" applyFont="1" applyBorder="1"/>
    <xf numFmtId="164" fontId="2" fillId="0" borderId="0" xfId="0" applyNumberFormat="1" applyFont="1"/>
    <xf numFmtId="164" fontId="2" fillId="0" borderId="0" xfId="0" applyNumberFormat="1" applyFont="1" applyAlignment="1">
      <alignment vertical="top"/>
    </xf>
    <xf numFmtId="164" fontId="2" fillId="0" borderId="13" xfId="0" applyNumberFormat="1" applyFont="1" applyBorder="1" applyAlignment="1">
      <alignment vertical="top"/>
    </xf>
    <xf numFmtId="165" fontId="1" fillId="3" borderId="15" xfId="0" applyNumberFormat="1" applyFont="1" applyFill="1" applyBorder="1" applyAlignment="1">
      <alignment vertical="top"/>
    </xf>
    <xf numFmtId="0" fontId="3" fillId="0" borderId="16" xfId="0" applyFont="1" applyBorder="1"/>
    <xf numFmtId="0" fontId="2" fillId="0" borderId="12" xfId="0" applyFont="1" applyBorder="1" applyAlignment="1">
      <alignment horizontal="center" vertical="top"/>
    </xf>
    <xf numFmtId="0" fontId="5" fillId="0" borderId="3" xfId="0" applyFont="1" applyBorder="1" applyAlignment="1">
      <alignment vertical="top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164" fontId="2" fillId="2" borderId="19" xfId="0" applyNumberFormat="1" applyFont="1" applyFill="1" applyBorder="1" applyAlignment="1">
      <alignment vertical="top"/>
    </xf>
    <xf numFmtId="164" fontId="2" fillId="2" borderId="20" xfId="0" applyNumberFormat="1" applyFont="1" applyFill="1" applyBorder="1" applyAlignment="1">
      <alignment vertical="top"/>
    </xf>
    <xf numFmtId="164" fontId="2" fillId="0" borderId="6" xfId="0" applyNumberFormat="1" applyFont="1" applyBorder="1"/>
    <xf numFmtId="164" fontId="2" fillId="0" borderId="19" xfId="0" applyNumberFormat="1" applyFont="1" applyBorder="1"/>
    <xf numFmtId="164" fontId="2" fillId="0" borderId="19" xfId="0" applyNumberFormat="1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165" fontId="1" fillId="3" borderId="21" xfId="0" applyNumberFormat="1" applyFont="1" applyFill="1" applyBorder="1" applyAlignment="1">
      <alignment vertical="top"/>
    </xf>
    <xf numFmtId="0" fontId="4" fillId="0" borderId="22" xfId="0" applyFont="1" applyBorder="1" applyAlignment="1">
      <alignment horizontal="center" vertical="center" textRotation="90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164" fontId="4" fillId="2" borderId="23" xfId="0" applyNumberFormat="1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164" fontId="4" fillId="2" borderId="24" xfId="0" applyNumberFormat="1" applyFont="1" applyFill="1" applyBorder="1" applyAlignment="1">
      <alignment horizontal="center" vertical="top"/>
    </xf>
    <xf numFmtId="164" fontId="4" fillId="0" borderId="23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3" fillId="0" borderId="26" xfId="0" applyFont="1" applyBorder="1"/>
    <xf numFmtId="0" fontId="1" fillId="0" borderId="27" xfId="0" applyFont="1" applyBorder="1" applyAlignment="1">
      <alignment vertical="top"/>
    </xf>
    <xf numFmtId="0" fontId="3" fillId="0" borderId="28" xfId="0" applyFont="1" applyBorder="1"/>
    <xf numFmtId="0" fontId="4" fillId="0" borderId="29" xfId="0" applyFont="1" applyBorder="1" applyAlignment="1">
      <alignment horizontal="center" vertical="top"/>
    </xf>
    <xf numFmtId="0" fontId="3" fillId="0" borderId="30" xfId="0" applyFont="1" applyBorder="1"/>
    <xf numFmtId="0" fontId="4" fillId="2" borderId="29" xfId="0" applyFont="1" applyFill="1" applyBorder="1" applyAlignment="1">
      <alignment horizontal="center" vertical="top"/>
    </xf>
    <xf numFmtId="0" fontId="4" fillId="3" borderId="31" xfId="0" applyFont="1" applyFill="1" applyBorder="1" applyAlignment="1">
      <alignment horizontal="center" vertical="top"/>
    </xf>
    <xf numFmtId="164" fontId="1" fillId="0" borderId="32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3" fillId="0" borderId="33" xfId="0" applyFont="1" applyBorder="1"/>
    <xf numFmtId="0" fontId="3" fillId="0" borderId="34" xfId="0" applyFont="1" applyBorder="1"/>
    <xf numFmtId="0" fontId="4" fillId="0" borderId="35" xfId="0" applyFont="1" applyBorder="1" applyAlignment="1">
      <alignment vertical="top"/>
    </xf>
    <xf numFmtId="164" fontId="6" fillId="4" borderId="36" xfId="0" applyNumberFormat="1" applyFont="1" applyFill="1" applyBorder="1" applyAlignment="1">
      <alignment horizontal="right" vertical="top"/>
    </xf>
    <xf numFmtId="0" fontId="1" fillId="0" borderId="36" xfId="0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1" xfId="0" applyFont="1" applyBorder="1"/>
    <xf numFmtId="164" fontId="2" fillId="5" borderId="1" xfId="0" applyNumberFormat="1" applyFont="1" applyFill="1" applyBorder="1" applyAlignment="1">
      <alignment vertical="top"/>
    </xf>
    <xf numFmtId="0" fontId="3" fillId="0" borderId="3" xfId="0" applyFont="1" applyBorder="1"/>
    <xf numFmtId="0" fontId="3" fillId="0" borderId="39" xfId="0" applyFont="1" applyBorder="1"/>
    <xf numFmtId="0" fontId="1" fillId="0" borderId="40" xfId="0" applyFont="1" applyBorder="1" applyAlignment="1">
      <alignment vertical="top"/>
    </xf>
    <xf numFmtId="0" fontId="3" fillId="0" borderId="41" xfId="0" applyFont="1" applyBorder="1"/>
    <xf numFmtId="0" fontId="3" fillId="0" borderId="42" xfId="0" applyFont="1" applyBorder="1"/>
    <xf numFmtId="0" fontId="4" fillId="3" borderId="43" xfId="0" applyFont="1" applyFill="1" applyBorder="1" applyAlignment="1">
      <alignment vertical="top"/>
    </xf>
    <xf numFmtId="164" fontId="6" fillId="4" borderId="36" xfId="0" applyNumberFormat="1" applyFont="1" applyFill="1" applyBorder="1" applyAlignment="1">
      <alignment vertical="top"/>
    </xf>
    <xf numFmtId="0" fontId="4" fillId="6" borderId="36" xfId="0" applyFont="1" applyFill="1" applyBorder="1" applyAlignment="1">
      <alignment vertical="top"/>
    </xf>
    <xf numFmtId="0" fontId="3" fillId="0" borderId="44" xfId="0" applyFont="1" applyBorder="1"/>
    <xf numFmtId="0" fontId="1" fillId="0" borderId="27" xfId="0" applyFont="1" applyBorder="1" applyAlignment="1">
      <alignment vertical="top"/>
    </xf>
    <xf numFmtId="166" fontId="2" fillId="5" borderId="1" xfId="0" applyNumberFormat="1" applyFont="1" applyFill="1" applyBorder="1" applyAlignment="1">
      <alignment vertical="top"/>
    </xf>
    <xf numFmtId="164" fontId="6" fillId="7" borderId="36" xfId="0" applyNumberFormat="1" applyFont="1" applyFill="1" applyBorder="1" applyAlignment="1">
      <alignment vertical="top"/>
    </xf>
    <xf numFmtId="0" fontId="3" fillId="0" borderId="45" xfId="0" applyFont="1" applyBorder="1"/>
    <xf numFmtId="0" fontId="1" fillId="0" borderId="46" xfId="0" applyFont="1" applyBorder="1" applyAlignment="1">
      <alignment vertical="top"/>
    </xf>
    <xf numFmtId="0" fontId="4" fillId="3" borderId="43" xfId="0" applyFont="1" applyFill="1" applyBorder="1"/>
    <xf numFmtId="0" fontId="1" fillId="0" borderId="25" xfId="0" applyFont="1" applyBorder="1"/>
    <xf numFmtId="0" fontId="1" fillId="0" borderId="25" xfId="0" applyFont="1" applyBorder="1" applyAlignment="1">
      <alignment vertical="top"/>
    </xf>
    <xf numFmtId="164" fontId="1" fillId="0" borderId="25" xfId="0" applyNumberFormat="1" applyFont="1" applyBorder="1" applyAlignment="1">
      <alignment vertical="top"/>
    </xf>
    <xf numFmtId="165" fontId="1" fillId="8" borderId="47" xfId="0" applyNumberFormat="1" applyFont="1" applyFill="1" applyBorder="1" applyAlignment="1">
      <alignment vertical="top"/>
    </xf>
    <xf numFmtId="165" fontId="1" fillId="0" borderId="48" xfId="0" applyNumberFormat="1" applyFont="1" applyBorder="1" applyAlignment="1">
      <alignment vertical="top"/>
    </xf>
    <xf numFmtId="0" fontId="1" fillId="0" borderId="49" xfId="0" applyFont="1" applyBorder="1" applyAlignment="1">
      <alignment vertical="top"/>
    </xf>
    <xf numFmtId="165" fontId="1" fillId="8" borderId="50" xfId="0" applyNumberFormat="1" applyFont="1" applyFill="1" applyBorder="1"/>
    <xf numFmtId="165" fontId="1" fillId="0" borderId="1" xfId="0" applyNumberFormat="1" applyFont="1" applyBorder="1"/>
    <xf numFmtId="0" fontId="1" fillId="0" borderId="51" xfId="0" applyFont="1" applyBorder="1"/>
    <xf numFmtId="0" fontId="1" fillId="6" borderId="50" xfId="0" applyFont="1" applyFill="1" applyBorder="1" applyAlignment="1">
      <alignment vertical="top"/>
    </xf>
    <xf numFmtId="0" fontId="9" fillId="0" borderId="51" xfId="0" applyFont="1" applyBorder="1" applyAlignment="1">
      <alignment vertical="top"/>
    </xf>
    <xf numFmtId="165" fontId="1" fillId="8" borderId="50" xfId="0" applyNumberFormat="1" applyFont="1" applyFill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0" fontId="1" fillId="0" borderId="51" xfId="0" applyFont="1" applyBorder="1" applyAlignment="1">
      <alignment vertical="top"/>
    </xf>
    <xf numFmtId="0" fontId="1" fillId="0" borderId="39" xfId="0" applyFont="1" applyBorder="1" applyAlignment="1">
      <alignment vertical="top"/>
    </xf>
    <xf numFmtId="165" fontId="1" fillId="6" borderId="50" xfId="0" applyNumberFormat="1" applyFont="1" applyFill="1" applyBorder="1" applyAlignment="1">
      <alignment vertical="top"/>
    </xf>
    <xf numFmtId="0" fontId="7" fillId="0" borderId="52" xfId="0" applyFont="1" applyBorder="1" applyAlignment="1">
      <alignment vertical="top"/>
    </xf>
    <xf numFmtId="10" fontId="1" fillId="9" borderId="50" xfId="0" applyNumberFormat="1" applyFont="1" applyFill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10" borderId="53" xfId="0" applyFont="1" applyFill="1" applyBorder="1" applyAlignment="1">
      <alignment vertical="top"/>
    </xf>
    <xf numFmtId="166" fontId="10" fillId="5" borderId="54" xfId="0" applyNumberFormat="1" applyFont="1" applyFill="1" applyBorder="1" applyAlignment="1">
      <alignment vertical="top"/>
    </xf>
    <xf numFmtId="10" fontId="1" fillId="6" borderId="50" xfId="0" applyNumberFormat="1" applyFont="1" applyFill="1" applyBorder="1" applyAlignment="1">
      <alignment vertical="top"/>
    </xf>
    <xf numFmtId="0" fontId="11" fillId="11" borderId="55" xfId="0" applyFont="1" applyFill="1" applyBorder="1"/>
    <xf numFmtId="164" fontId="1" fillId="0" borderId="39" xfId="0" applyNumberFormat="1" applyFont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11" fillId="8" borderId="55" xfId="0" applyFont="1" applyFill="1" applyBorder="1"/>
    <xf numFmtId="166" fontId="1" fillId="0" borderId="56" xfId="0" applyNumberFormat="1" applyFont="1" applyBorder="1" applyAlignment="1">
      <alignment vertical="top"/>
    </xf>
    <xf numFmtId="166" fontId="1" fillId="8" borderId="50" xfId="0" applyNumberFormat="1" applyFont="1" applyFill="1" applyBorder="1" applyAlignment="1">
      <alignment vertical="top"/>
    </xf>
    <xf numFmtId="166" fontId="1" fillId="0" borderId="1" xfId="0" applyNumberFormat="1" applyFont="1" applyBorder="1" applyAlignment="1">
      <alignment vertical="top"/>
    </xf>
    <xf numFmtId="0" fontId="4" fillId="0" borderId="57" xfId="0" applyFont="1" applyBorder="1" applyAlignment="1">
      <alignment horizontal="center"/>
    </xf>
    <xf numFmtId="0" fontId="1" fillId="0" borderId="58" xfId="0" applyFont="1" applyBorder="1" applyAlignment="1">
      <alignment vertical="top"/>
    </xf>
    <xf numFmtId="0" fontId="4" fillId="3" borderId="59" xfId="0" applyFont="1" applyFill="1" applyBorder="1" applyAlignment="1">
      <alignment horizontal="center" vertical="top"/>
    </xf>
    <xf numFmtId="0" fontId="3" fillId="0" borderId="60" xfId="0" applyFont="1" applyBorder="1"/>
    <xf numFmtId="0" fontId="4" fillId="3" borderId="61" xfId="0" applyFont="1" applyFill="1" applyBorder="1" applyAlignment="1">
      <alignment horizontal="center" vertical="top"/>
    </xf>
    <xf numFmtId="0" fontId="7" fillId="0" borderId="27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0" fillId="0" borderId="62" xfId="0" applyFont="1" applyBorder="1" applyAlignment="1">
      <alignment vertical="top"/>
    </xf>
    <xf numFmtId="0" fontId="13" fillId="0" borderId="6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ctoria/Downloads/FIN%20321%20-%20Chapter%208%20Transaction%20Hedging.xlsx" TargetMode="External"/><Relationship Id="rId1" Type="http://schemas.openxmlformats.org/officeDocument/2006/relationships/externalLinkPath" Target="FIN%20321%20-%20Chapter%208%20Transaction%20Hedg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Hedging (Payables)"/>
      <sheetName val="Transaction Hedging (Receivable"/>
    </sheetNames>
    <sheetDataSet>
      <sheetData sheetId="0">
        <row r="6">
          <cell r="F6">
            <v>5000000</v>
          </cell>
        </row>
        <row r="7">
          <cell r="F7">
            <v>1.8</v>
          </cell>
        </row>
        <row r="9">
          <cell r="F9">
            <v>0.06</v>
          </cell>
        </row>
        <row r="10">
          <cell r="F10">
            <v>6.5000000000000002E-2</v>
          </cell>
        </row>
        <row r="12">
          <cell r="F12">
            <v>1.75</v>
          </cell>
        </row>
        <row r="14">
          <cell r="F14">
            <v>1.8</v>
          </cell>
        </row>
        <row r="15">
          <cell r="F15">
            <v>0.01</v>
          </cell>
        </row>
        <row r="35">
          <cell r="C35">
            <v>1.4999999999999998</v>
          </cell>
        </row>
        <row r="36">
          <cell r="C36">
            <v>1.5499999999999998</v>
          </cell>
        </row>
        <row r="37">
          <cell r="C37">
            <v>1.5999999999999999</v>
          </cell>
        </row>
        <row r="38">
          <cell r="C38">
            <v>1.65</v>
          </cell>
        </row>
        <row r="39">
          <cell r="C39">
            <v>1.7</v>
          </cell>
        </row>
        <row r="40">
          <cell r="C40">
            <v>1.75</v>
          </cell>
        </row>
        <row r="41">
          <cell r="C41">
            <v>1.8</v>
          </cell>
        </row>
        <row r="42">
          <cell r="C42">
            <v>1.85</v>
          </cell>
        </row>
        <row r="43">
          <cell r="C43">
            <v>1.9000000000000001</v>
          </cell>
        </row>
        <row r="44">
          <cell r="C44">
            <v>1.9500000000000002</v>
          </cell>
        </row>
        <row r="45">
          <cell r="C45">
            <v>2</v>
          </cell>
        </row>
        <row r="46">
          <cell r="C46">
            <v>2.0499999999999998</v>
          </cell>
        </row>
        <row r="47">
          <cell r="C47">
            <v>2.0999999999999996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8A6E-0458-3D4C-A018-D0695502C7EC}">
  <sheetPr>
    <outlinePr summaryBelow="0" summaryRight="0"/>
  </sheetPr>
  <dimension ref="A1:AD1014"/>
  <sheetViews>
    <sheetView zoomScale="113" workbookViewId="0">
      <selection activeCell="C9" sqref="C9:C10"/>
    </sheetView>
  </sheetViews>
  <sheetFormatPr baseColWidth="10" defaultColWidth="12.6640625" defaultRowHeight="15.75" customHeight="1" x14ac:dyDescent="0.15"/>
  <cols>
    <col min="1" max="1" width="3" customWidth="1"/>
    <col min="2" max="2" width="5.1640625" bestFit="1" customWidth="1"/>
    <col min="3" max="3" width="76.83203125" bestFit="1" customWidth="1"/>
    <col min="4" max="4" width="19" bestFit="1" customWidth="1"/>
    <col min="5" max="5" width="26.1640625" customWidth="1"/>
    <col min="6" max="6" width="34.33203125" customWidth="1"/>
    <col min="7" max="7" width="31.33203125" customWidth="1"/>
    <col min="8" max="8" width="48.5" customWidth="1"/>
    <col min="9" max="9" width="34.33203125" customWidth="1"/>
    <col min="10" max="10" width="24" customWidth="1"/>
    <col min="11" max="11" width="33" customWidth="1"/>
    <col min="12" max="12" width="33.1640625" customWidth="1"/>
    <col min="13" max="13" width="39.6640625" customWidth="1"/>
  </cols>
  <sheetData>
    <row r="1" spans="1:30" ht="15.75" customHeight="1" x14ac:dyDescent="0.1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3" x14ac:dyDescent="0.15">
      <c r="A2" s="2"/>
      <c r="B2" s="1"/>
      <c r="C2" s="115" t="s">
        <v>43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3" x14ac:dyDescent="0.15">
      <c r="A3" s="2"/>
      <c r="B3" s="1"/>
      <c r="C3" s="114" t="s">
        <v>42</v>
      </c>
      <c r="D3" s="66"/>
      <c r="E3" s="66"/>
      <c r="F3" s="66"/>
      <c r="G3" s="66"/>
      <c r="H3" s="66"/>
      <c r="I3" s="66"/>
      <c r="J3" s="6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4" thickBot="1" x14ac:dyDescent="0.2">
      <c r="A4" s="2"/>
      <c r="B4" s="1"/>
      <c r="C4" s="81"/>
      <c r="D4" s="81"/>
      <c r="E4" s="81"/>
      <c r="F4" s="81"/>
      <c r="G4" s="1"/>
      <c r="H4" s="8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4" thickTop="1" x14ac:dyDescent="0.25">
      <c r="A5" s="2"/>
      <c r="B5" s="48"/>
      <c r="C5" s="113" t="s">
        <v>41</v>
      </c>
      <c r="D5" s="112"/>
      <c r="E5" s="112"/>
      <c r="F5" s="111" t="s">
        <v>40</v>
      </c>
      <c r="G5" s="110"/>
      <c r="H5" s="109" t="s">
        <v>39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3" x14ac:dyDescent="0.25">
      <c r="A6" s="2"/>
      <c r="B6" s="48"/>
      <c r="C6" s="93" t="s">
        <v>38</v>
      </c>
      <c r="D6" s="108"/>
      <c r="E6" s="108"/>
      <c r="F6" s="107">
        <v>4500000</v>
      </c>
      <c r="G6" s="106"/>
      <c r="H6" s="105" t="s">
        <v>37</v>
      </c>
      <c r="I6" s="10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3" x14ac:dyDescent="0.25">
      <c r="A7" s="2"/>
      <c r="B7" s="48"/>
      <c r="C7" s="93" t="s">
        <v>36</v>
      </c>
      <c r="D7" s="92"/>
      <c r="E7" s="92"/>
      <c r="F7" s="91">
        <v>1.0874999999999999</v>
      </c>
      <c r="G7" s="103"/>
      <c r="H7" s="102" t="s">
        <v>35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23" x14ac:dyDescent="0.15">
      <c r="A8" s="2"/>
      <c r="B8" s="48"/>
      <c r="C8" s="90" t="s">
        <v>34</v>
      </c>
      <c r="D8" s="98"/>
      <c r="E8" s="98"/>
      <c r="F8" s="101"/>
      <c r="G8" s="94"/>
      <c r="H8" s="100" t="s">
        <v>33</v>
      </c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3" x14ac:dyDescent="0.15">
      <c r="A9" s="2"/>
      <c r="B9" s="48"/>
      <c r="C9" s="93" t="s">
        <v>32</v>
      </c>
      <c r="D9" s="98"/>
      <c r="E9" s="98"/>
      <c r="F9" s="97">
        <v>3.6790000000000003E-2</v>
      </c>
      <c r="G9" s="94"/>
      <c r="H9" s="99" t="s">
        <v>31</v>
      </c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3" x14ac:dyDescent="0.15">
      <c r="A10" s="2"/>
      <c r="B10" s="48"/>
      <c r="C10" s="93" t="s">
        <v>30</v>
      </c>
      <c r="D10" s="98"/>
      <c r="E10" s="98"/>
      <c r="F10" s="97">
        <v>0.04</v>
      </c>
      <c r="G10" s="96"/>
      <c r="H10" s="5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3" x14ac:dyDescent="0.15">
      <c r="A11" s="2"/>
      <c r="B11" s="48"/>
      <c r="C11" s="90" t="s">
        <v>29</v>
      </c>
      <c r="D11" s="92"/>
      <c r="E11" s="92"/>
      <c r="F11" s="95"/>
      <c r="G11" s="94"/>
      <c r="H11" s="2" t="s">
        <v>28</v>
      </c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3" x14ac:dyDescent="0.15">
      <c r="A12" s="2"/>
      <c r="B12" s="48"/>
      <c r="C12" s="93" t="s">
        <v>27</v>
      </c>
      <c r="D12" s="92"/>
      <c r="E12" s="92"/>
      <c r="F12" s="91">
        <v>1.0874999999999999</v>
      </c>
      <c r="G12" s="4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3" x14ac:dyDescent="0.15">
      <c r="A13" s="2"/>
      <c r="B13" s="48"/>
      <c r="C13" s="90" t="s">
        <v>26</v>
      </c>
      <c r="D13" s="1"/>
      <c r="E13" s="1"/>
      <c r="F13" s="89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3" x14ac:dyDescent="0.25">
      <c r="A14" s="2"/>
      <c r="B14" s="48"/>
      <c r="C14" s="88" t="s">
        <v>25</v>
      </c>
      <c r="D14" s="87"/>
      <c r="E14" s="87"/>
      <c r="F14" s="86">
        <v>1.24</v>
      </c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4" thickBot="1" x14ac:dyDescent="0.3">
      <c r="A15" s="2"/>
      <c r="B15" s="48"/>
      <c r="C15" s="85" t="s">
        <v>24</v>
      </c>
      <c r="D15" s="84"/>
      <c r="E15" s="84"/>
      <c r="F15" s="83">
        <v>1.4999999999999999E-2</v>
      </c>
      <c r="G15" s="4"/>
      <c r="H15" s="63"/>
      <c r="I15" s="1"/>
      <c r="J15" s="63"/>
      <c r="K15" s="63"/>
      <c r="L15" s="63"/>
      <c r="M15" s="6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 thickTop="1" x14ac:dyDescent="0.25">
      <c r="A16" s="2"/>
      <c r="B16" s="1"/>
      <c r="C16" s="55"/>
      <c r="D16" s="55"/>
      <c r="E16" s="55"/>
      <c r="F16" s="55"/>
      <c r="G16" s="82"/>
      <c r="H16" s="82"/>
      <c r="I16" s="81"/>
      <c r="J16" s="80"/>
      <c r="K16" s="6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3" x14ac:dyDescent="0.25">
      <c r="A17" s="2"/>
      <c r="B17" s="48"/>
      <c r="C17" s="79" t="s">
        <v>10</v>
      </c>
      <c r="D17" s="69"/>
      <c r="E17" s="69"/>
      <c r="F17" s="69"/>
      <c r="G17" s="69"/>
      <c r="H17" s="69"/>
      <c r="I17" s="69"/>
      <c r="J17" s="68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23" x14ac:dyDescent="0.15">
      <c r="A18" s="2"/>
      <c r="B18" s="48"/>
      <c r="C18" s="78" t="s">
        <v>23</v>
      </c>
      <c r="D18" s="57"/>
      <c r="E18" s="77"/>
      <c r="F18" s="76">
        <f>F6*for_GBPUSD</f>
        <v>4893750</v>
      </c>
      <c r="G18" s="58" t="s">
        <v>19</v>
      </c>
      <c r="H18" s="57"/>
      <c r="I18" s="57"/>
      <c r="J18" s="56"/>
      <c r="K18" s="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15">
      <c r="A19" s="2"/>
      <c r="B19" s="1"/>
      <c r="C19" s="55"/>
      <c r="D19" s="55"/>
      <c r="E19" s="55"/>
      <c r="F19" s="55"/>
      <c r="G19" s="54"/>
      <c r="H19" s="55"/>
      <c r="I19" s="55"/>
      <c r="J19" s="5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3" x14ac:dyDescent="0.15">
      <c r="A20" s="2"/>
      <c r="B20" s="48"/>
      <c r="C20" s="70" t="s">
        <v>8</v>
      </c>
      <c r="D20" s="69"/>
      <c r="E20" s="69"/>
      <c r="F20" s="69"/>
      <c r="G20" s="69"/>
      <c r="H20" s="69"/>
      <c r="I20" s="69"/>
      <c r="J20" s="68"/>
      <c r="K20" s="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3" x14ac:dyDescent="0.15">
      <c r="A21" s="2"/>
      <c r="B21" s="48"/>
      <c r="C21" s="67" t="s">
        <v>22</v>
      </c>
      <c r="D21" s="66"/>
      <c r="E21" s="65"/>
      <c r="F21" s="75">
        <f>F6/(1+F10)</f>
        <v>4326923.076923077</v>
      </c>
      <c r="G21" s="74"/>
      <c r="H21" s="66"/>
      <c r="I21" s="66"/>
      <c r="J21" s="73"/>
      <c r="K21" s="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3" x14ac:dyDescent="0.15">
      <c r="A22" s="2"/>
      <c r="B22" s="48"/>
      <c r="C22" s="67" t="s">
        <v>21</v>
      </c>
      <c r="D22" s="66"/>
      <c r="E22" s="65"/>
      <c r="F22" s="64">
        <f>F21*F7</f>
        <v>4705528.846153846</v>
      </c>
      <c r="G22" s="74"/>
      <c r="H22" s="66"/>
      <c r="I22" s="66"/>
      <c r="J22" s="73"/>
      <c r="K22" s="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3" x14ac:dyDescent="0.15">
      <c r="A23" s="2"/>
      <c r="B23" s="48"/>
      <c r="C23" s="67" t="s">
        <v>20</v>
      </c>
      <c r="D23" s="66"/>
      <c r="E23" s="65"/>
      <c r="F23" s="64">
        <f>F22*(1+F9)</f>
        <v>4878645.2524038469</v>
      </c>
      <c r="G23" s="74"/>
      <c r="H23" s="66"/>
      <c r="I23" s="66"/>
      <c r="J23" s="73"/>
      <c r="K23" s="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3" x14ac:dyDescent="0.15">
      <c r="A24" s="2"/>
      <c r="B24" s="48"/>
      <c r="C24" s="61"/>
      <c r="D24" s="72"/>
      <c r="E24" s="72"/>
      <c r="F24" s="71">
        <f>F23</f>
        <v>4878645.2524038469</v>
      </c>
      <c r="G24" s="58" t="s">
        <v>19</v>
      </c>
      <c r="H24" s="57"/>
      <c r="I24" s="57"/>
      <c r="J24" s="56"/>
      <c r="K24" s="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15">
      <c r="A25" s="2"/>
      <c r="B25" s="1"/>
      <c r="C25" s="55"/>
      <c r="D25" s="55"/>
      <c r="E25" s="55"/>
      <c r="F25" s="55"/>
      <c r="G25" s="54"/>
      <c r="H25" s="55"/>
      <c r="I25" s="55"/>
      <c r="J25" s="5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3" x14ac:dyDescent="0.15">
      <c r="A26" s="2"/>
      <c r="B26" s="48"/>
      <c r="C26" s="70" t="s">
        <v>7</v>
      </c>
      <c r="D26" s="69"/>
      <c r="E26" s="69"/>
      <c r="F26" s="69"/>
      <c r="G26" s="69"/>
      <c r="H26" s="69"/>
      <c r="I26" s="69"/>
      <c r="J26" s="68"/>
      <c r="K26" s="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3" x14ac:dyDescent="0.25">
      <c r="A27" s="2"/>
      <c r="B27" s="48"/>
      <c r="C27" s="67" t="s">
        <v>18</v>
      </c>
      <c r="D27" s="66"/>
      <c r="E27" s="65"/>
      <c r="F27" s="64">
        <f>-put_price*recievable</f>
        <v>-67500</v>
      </c>
      <c r="G27" s="63" t="e">
        <f ca="1">_xludf.FORMULATEXT(F27)</f>
        <v>#NAME?</v>
      </c>
      <c r="H27" s="1"/>
      <c r="I27" s="1"/>
      <c r="J27" s="62"/>
      <c r="K27" s="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3" x14ac:dyDescent="0.25">
      <c r="A28" s="2"/>
      <c r="B28" s="48"/>
      <c r="C28" s="67" t="s">
        <v>17</v>
      </c>
      <c r="D28" s="66"/>
      <c r="E28" s="65"/>
      <c r="F28" s="64">
        <f>F27*(1+F9)</f>
        <v>-69983.325000000012</v>
      </c>
      <c r="G28" s="63"/>
      <c r="H28" s="1"/>
      <c r="I28" s="1"/>
      <c r="J28" s="62"/>
      <c r="K28" s="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3" x14ac:dyDescent="0.15">
      <c r="A29" s="2"/>
      <c r="B29" s="48"/>
      <c r="C29" s="61"/>
      <c r="D29" s="60"/>
      <c r="E29" s="60"/>
      <c r="F29" s="59">
        <f>MIN(G33:G45)</f>
        <v>6230016.6749999998</v>
      </c>
      <c r="G29" s="58" t="s">
        <v>16</v>
      </c>
      <c r="H29" s="57"/>
      <c r="I29" s="57"/>
      <c r="J29" s="56"/>
      <c r="K29" s="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15">
      <c r="A30" s="2"/>
      <c r="B30" s="1"/>
      <c r="C30" s="3"/>
      <c r="D30" s="55"/>
      <c r="E30" s="55"/>
      <c r="F30" s="55"/>
      <c r="G30" s="54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3" x14ac:dyDescent="0.15">
      <c r="A31" s="2"/>
      <c r="B31" s="48"/>
      <c r="C31" s="53" t="s">
        <v>15</v>
      </c>
      <c r="D31" s="50" t="s">
        <v>14</v>
      </c>
      <c r="E31" s="51"/>
      <c r="F31" s="51"/>
      <c r="G31" s="49"/>
      <c r="H31" s="52" t="s">
        <v>13</v>
      </c>
      <c r="I31" s="51"/>
      <c r="J31" s="49"/>
      <c r="K31" s="50" t="s">
        <v>12</v>
      </c>
      <c r="L31" s="49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4" thickBot="1" x14ac:dyDescent="0.2">
      <c r="A32" s="2"/>
      <c r="B32" s="48"/>
      <c r="C32" s="47"/>
      <c r="D32" s="40" t="s">
        <v>11</v>
      </c>
      <c r="E32" s="46" t="s">
        <v>10</v>
      </c>
      <c r="F32" s="45" t="s">
        <v>8</v>
      </c>
      <c r="G32" s="44" t="s">
        <v>7</v>
      </c>
      <c r="H32" s="43" t="s">
        <v>9</v>
      </c>
      <c r="I32" s="42" t="s">
        <v>8</v>
      </c>
      <c r="J32" s="41" t="s">
        <v>7</v>
      </c>
      <c r="K32" s="40" t="s">
        <v>6</v>
      </c>
      <c r="L32" s="39" t="s">
        <v>5</v>
      </c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4" thickBot="1" x14ac:dyDescent="0.3">
      <c r="A33" s="16"/>
      <c r="B33" s="38" t="s">
        <v>4</v>
      </c>
      <c r="C33" s="37">
        <f>C34-0.01</f>
        <v>1.4</v>
      </c>
      <c r="D33" s="36">
        <f>C33*$F$6</f>
        <v>6300000</v>
      </c>
      <c r="E33" s="35">
        <f>$D33+($F$12-C33)*$F$6</f>
        <v>4893750</v>
      </c>
      <c r="F33" s="34">
        <f>$F$24</f>
        <v>4878645.2524038469</v>
      </c>
      <c r="G33" s="33">
        <f>hedge_no+J33</f>
        <v>6230016.6749999998</v>
      </c>
      <c r="H33" s="32">
        <f>($F$12-C33)*$F$6</f>
        <v>-1406250</v>
      </c>
      <c r="I33" s="31">
        <f>$F$24-D33</f>
        <v>-1421354.7475961531</v>
      </c>
      <c r="J33" s="7">
        <f>fv_put_outlay+MAX(0,(x_put-gbpusd_1y_scenario)*recievable)</f>
        <v>-69983.325000000012</v>
      </c>
      <c r="K33" s="30" t="str">
        <f>IF(E33= MAX(D33,E33,F33,G33),$E$32,IF(F33= MAX(D33,E33,F33,G33),$F$32,IF(G33= MAX(D33,E33,F33,G33),$G$32,$D$32)))</f>
        <v>0. No Hedge</v>
      </c>
      <c r="L33" s="29" t="str">
        <f>IF(E33= MAX(E33,F33,G33),$E$32,IF(F33= MAX(E33,F33,G33),$F$32,$G$32))</f>
        <v>3. Option Hedge</v>
      </c>
      <c r="M33" s="4" t="s">
        <v>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29" thickBot="1" x14ac:dyDescent="0.3">
      <c r="A34" s="16"/>
      <c r="B34" s="26"/>
      <c r="C34" s="25">
        <f>C35-0.01</f>
        <v>1.41</v>
      </c>
      <c r="D34" s="24">
        <f>C34*$F$6</f>
        <v>6345000</v>
      </c>
      <c r="E34" s="23">
        <f>$D34+($F$12-C34)*$F$6</f>
        <v>4893750</v>
      </c>
      <c r="F34" s="22">
        <f>$F$24</f>
        <v>4878645.2524038469</v>
      </c>
      <c r="G34" s="21">
        <f>$D34+J34</f>
        <v>6275016.6749999998</v>
      </c>
      <c r="H34" s="20">
        <f>($F$12-C34)*$F$6</f>
        <v>-1451250</v>
      </c>
      <c r="I34" s="19">
        <f>$F$24-D34</f>
        <v>-1466354.7475961531</v>
      </c>
      <c r="J34" s="7">
        <f>fv_put_outlay+MAX(0,(x_put-gbpusd_1y_scenario)*recievable)</f>
        <v>-69983.325000000012</v>
      </c>
      <c r="K34" s="18" t="str">
        <f>IF(E34= MAX(D34,E34,F34,G34),$E$32,IF(F34= MAX(D34,E34,F34,G34),$F$32,IF(G34= MAX(D34,E34,F34,G34),$G$32,$D$32)))</f>
        <v>0. No Hedge</v>
      </c>
      <c r="L34" s="27" t="str">
        <f>IF(E34= MAX(E34,F34,G34),$E$32,IF(F34= MAX(E34,F34,G34),$F$32,$G$32))</f>
        <v>3. Option Hedge</v>
      </c>
      <c r="M34" s="2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4" thickBot="1" x14ac:dyDescent="0.3">
      <c r="A35" s="16"/>
      <c r="B35" s="26"/>
      <c r="C35" s="25">
        <f>C36-0.01</f>
        <v>1.42</v>
      </c>
      <c r="D35" s="24">
        <f>C35*$F$6</f>
        <v>6390000</v>
      </c>
      <c r="E35" s="23">
        <f>$D35+($F$12-C35)*$F$6</f>
        <v>4893750</v>
      </c>
      <c r="F35" s="22">
        <f>$F$24</f>
        <v>4878645.2524038469</v>
      </c>
      <c r="G35" s="21">
        <f>$D35+J35</f>
        <v>6320016.6749999998</v>
      </c>
      <c r="H35" s="20">
        <f>($F$12-C35)*$F$6</f>
        <v>-1496250</v>
      </c>
      <c r="I35" s="19">
        <f>$F$24-D35</f>
        <v>-1511354.7475961531</v>
      </c>
      <c r="J35" s="7">
        <f>fv_put_outlay+MAX(0,(x_put-gbpusd_1y_scenario)*recievable)</f>
        <v>-69983.325000000012</v>
      </c>
      <c r="K35" s="18" t="str">
        <f>IF(E35= MAX(D35,E35,F35,G35),$E$32,IF(F35= MAX(D35,E35,F35,G35),$F$32,IF(G35= MAX(D35,E35,F35,G35),$G$32,$D$32)))</f>
        <v>0. No Hedge</v>
      </c>
      <c r="L35" s="27" t="str">
        <f>IF(E35= MAX(E35,F35,G35),$E$32,IF(F35= MAX(E35,F35,G35),$F$32,$G$32))</f>
        <v>3. Option Hedge</v>
      </c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4" thickBot="1" x14ac:dyDescent="0.3">
      <c r="A36" s="16"/>
      <c r="B36" s="26"/>
      <c r="C36" s="25">
        <f>C37-0.01</f>
        <v>1.43</v>
      </c>
      <c r="D36" s="24">
        <f>C36*$F$6</f>
        <v>6435000</v>
      </c>
      <c r="E36" s="23">
        <f>$D36+($F$12-C36)*$F$6</f>
        <v>4893750</v>
      </c>
      <c r="F36" s="22">
        <f>$F$24</f>
        <v>4878645.2524038469</v>
      </c>
      <c r="G36" s="21">
        <f>$D36+J36</f>
        <v>6365016.6749999998</v>
      </c>
      <c r="H36" s="20">
        <f>($F$12-C36)*$F$6</f>
        <v>-1541250.0000000002</v>
      </c>
      <c r="I36" s="19">
        <f>$F$24-D36</f>
        <v>-1556354.7475961531</v>
      </c>
      <c r="J36" s="7">
        <f>fv_put_outlay+MAX(0,(x_put-gbpusd_1y_scenario)*recievable)</f>
        <v>-69983.325000000012</v>
      </c>
      <c r="K36" s="18" t="str">
        <f>IF(E36= MAX(D36,E36,F36,G36),$E$32,IF(F36= MAX(D36,E36,F36,G36),$F$32,IF(G36= MAX(D36,E36,F36,G36),$G$32,$D$32)))</f>
        <v>0. No Hedge</v>
      </c>
      <c r="L36" s="27" t="str">
        <f>IF(E36= MAX(E36,F36,G36),$E$32,IF(F36= MAX(E36,F36,G36),$F$32,$G$32))</f>
        <v>3. Option Hedge</v>
      </c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4" thickBot="1" x14ac:dyDescent="0.3">
      <c r="A37" s="16"/>
      <c r="B37" s="26"/>
      <c r="C37" s="25">
        <f>C38-0.01</f>
        <v>1.44</v>
      </c>
      <c r="D37" s="24">
        <f>C37*$F$6</f>
        <v>6480000</v>
      </c>
      <c r="E37" s="23">
        <f>$D37+($F$12-C37)*$F$6</f>
        <v>4893750</v>
      </c>
      <c r="F37" s="22">
        <f>$F$24</f>
        <v>4878645.2524038469</v>
      </c>
      <c r="G37" s="21">
        <f>$D37+J37</f>
        <v>6410016.6749999998</v>
      </c>
      <c r="H37" s="20">
        <f>($F$12-C37)*$F$6</f>
        <v>-1586250.0000000002</v>
      </c>
      <c r="I37" s="19">
        <f>$F$24-D37</f>
        <v>-1601354.7475961531</v>
      </c>
      <c r="J37" s="7">
        <f>fv_put_outlay+MAX(0,(x_put-gbpusd_1y_scenario)*recievable)</f>
        <v>-69983.325000000012</v>
      </c>
      <c r="K37" s="18" t="str">
        <f>IF(E37= MAX(D37,E37,F37,G37),$E$32,IF(F37= MAX(D37,E37,F37,G37),$F$32,IF(G37= MAX(D37,E37,F37,G37),$G$32,$D$32)))</f>
        <v>0. No Hedge</v>
      </c>
      <c r="L37" s="27" t="str">
        <f>IF(E37= MAX(E37,F37,G37),$E$32,IF(F37= MAX(E37,F37,G37),$F$32,$G$32))</f>
        <v>3. Option Hedge</v>
      </c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24" thickBot="1" x14ac:dyDescent="0.3">
      <c r="A38" s="16"/>
      <c r="B38" s="26"/>
      <c r="C38" s="25">
        <f>C39-0.01</f>
        <v>1.45</v>
      </c>
      <c r="D38" s="24">
        <f>C38*$F$6</f>
        <v>6525000</v>
      </c>
      <c r="E38" s="23">
        <f>$D38+($F$12-C38)*$F$6</f>
        <v>4893750</v>
      </c>
      <c r="F38" s="22">
        <f>$F$24</f>
        <v>4878645.2524038469</v>
      </c>
      <c r="G38" s="21">
        <f>$D38+J38</f>
        <v>6455016.6749999998</v>
      </c>
      <c r="H38" s="20">
        <f>($F$12-C38)*$F$6</f>
        <v>-1631250.0000000002</v>
      </c>
      <c r="I38" s="19">
        <f>$F$24-D38</f>
        <v>-1646354.7475961531</v>
      </c>
      <c r="J38" s="7">
        <f>fv_put_outlay+MAX(0,(x_put-gbpusd_1y_scenario)*recievable)</f>
        <v>-69983.325000000012</v>
      </c>
      <c r="K38" s="18" t="str">
        <f>IF(E38= MAX(D38,E38,F38,G38),$E$32,IF(F38= MAX(D38,E38,F38,G38),$F$32,IF(G38= MAX(D38,E38,F38,G38),$G$32,$D$32)))</f>
        <v>0. No Hedge</v>
      </c>
      <c r="L38" s="27" t="str">
        <f>IF(E38= MAX(E38,F38,G38),$E$32,IF(F38= MAX(E38,F38,G38),$F$32,$G$32))</f>
        <v>3. Option Hedge</v>
      </c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4" thickBot="1" x14ac:dyDescent="0.3">
      <c r="A39" s="16"/>
      <c r="B39" s="26"/>
      <c r="C39" s="25">
        <v>1.46</v>
      </c>
      <c r="D39" s="24">
        <f>C39*$F$6</f>
        <v>6570000</v>
      </c>
      <c r="E39" s="23">
        <f>$D39+($F$12-C39)*$F$6</f>
        <v>4893750</v>
      </c>
      <c r="F39" s="22">
        <f>$F$24</f>
        <v>4878645.2524038469</v>
      </c>
      <c r="G39" s="21">
        <f>$D39+J39</f>
        <v>6500016.6749999998</v>
      </c>
      <c r="H39" s="20">
        <f>($F$12-C39)*$F$6</f>
        <v>-1676250.0000000002</v>
      </c>
      <c r="I39" s="19">
        <f>$F$24-D39</f>
        <v>-1691354.7475961531</v>
      </c>
      <c r="J39" s="7">
        <f>fv_put_outlay+MAX(0,(x_put-gbpusd_1y_scenario)*recievable)</f>
        <v>-69983.325000000012</v>
      </c>
      <c r="K39" s="18" t="str">
        <f>IF(E39= MAX(D39,E39,F39,G39),$E$32,IF(F39= MAX(D39,E39,F39,G39),$F$32,IF(G39= MAX(D39,E39,F39,G39),$G$32,$D$32)))</f>
        <v>0. No Hedge</v>
      </c>
      <c r="L39" s="27" t="str">
        <f>IF(E39= MAX(E39,F39,G39),$E$32,IF(F39= MAX(E39,F39,G39),$F$32,$G$32))</f>
        <v>3. Option Hedge</v>
      </c>
      <c r="M39" s="4" t="s">
        <v>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24" thickBot="1" x14ac:dyDescent="0.3">
      <c r="A40" s="16"/>
      <c r="B40" s="26"/>
      <c r="C40" s="25">
        <f>C39+0.01</f>
        <v>1.47</v>
      </c>
      <c r="D40" s="24">
        <f>C40*$F$6</f>
        <v>6615000</v>
      </c>
      <c r="E40" s="23">
        <f>$D40+($F$12-C40)*$F$6</f>
        <v>4893750</v>
      </c>
      <c r="F40" s="22">
        <f>$F$24</f>
        <v>4878645.2524038469</v>
      </c>
      <c r="G40" s="21">
        <f>$D40+J40</f>
        <v>6545016.6749999998</v>
      </c>
      <c r="H40" s="20">
        <f>($F$12-C40)*$F$6</f>
        <v>-1721250.0000000002</v>
      </c>
      <c r="I40" s="19">
        <f>$F$24-D40</f>
        <v>-1736354.7475961531</v>
      </c>
      <c r="J40" s="7">
        <f>fv_put_outlay+MAX(0,(x_put-gbpusd_1y_scenario)*recievable)</f>
        <v>-69983.325000000012</v>
      </c>
      <c r="K40" s="18" t="str">
        <f>IF(E40= MAX(D40,E40,F40,G40),$E$32,IF(F40= MAX(D40,E40,F40,G40),$F$32,IF(G40= MAX(D40,E40,F40,G40),$G$32,$D$32)))</f>
        <v>0. No Hedge</v>
      </c>
      <c r="L40" s="27" t="str">
        <f>IF(E40= MAX(E40,F40,G40),$E$32,IF(F40= MAX(E40,F40,G40),$F$32,$G$32))</f>
        <v>3. Option Hedge</v>
      </c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4" thickBot="1" x14ac:dyDescent="0.3">
      <c r="A41" s="16"/>
      <c r="B41" s="26"/>
      <c r="C41" s="25">
        <f>C40+0.01</f>
        <v>1.48</v>
      </c>
      <c r="D41" s="24">
        <f>C41*$F$6</f>
        <v>6660000</v>
      </c>
      <c r="E41" s="23">
        <f>$D41+($F$12-C41)*$F$6</f>
        <v>4893750</v>
      </c>
      <c r="F41" s="22">
        <f>$F$24</f>
        <v>4878645.2524038469</v>
      </c>
      <c r="G41" s="21">
        <f>$D41+J41</f>
        <v>6590016.6749999998</v>
      </c>
      <c r="H41" s="20">
        <f>($F$12-C41)*$F$6</f>
        <v>-1766250.0000000002</v>
      </c>
      <c r="I41" s="19">
        <f>$F$24-D41</f>
        <v>-1781354.7475961531</v>
      </c>
      <c r="J41" s="7">
        <f>fv_put_outlay+MAX(0,(x_put-gbpusd_1y_scenario)*recievable)</f>
        <v>-69983.325000000012</v>
      </c>
      <c r="K41" s="18" t="str">
        <f>IF(E41= MAX(D41,E41,F41,G41),$E$32,IF(F41= MAX(D41,E41,F41,G41),$F$32,IF(G41= MAX(D41,E41,F41,G41),$G$32,$D$32)))</f>
        <v>0. No Hedge</v>
      </c>
      <c r="L41" s="27" t="str">
        <f>IF(E41= MAX(E41,F41,G41),$E$32,IF(F41= MAX(E41,F41,G41),$F$32,$G$32))</f>
        <v>3. Option Hedge</v>
      </c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24" thickBot="1" x14ac:dyDescent="0.3">
      <c r="A42" s="16"/>
      <c r="B42" s="26"/>
      <c r="C42" s="25">
        <f>C41+0.01</f>
        <v>1.49</v>
      </c>
      <c r="D42" s="24">
        <f>C42*$F$6</f>
        <v>6705000</v>
      </c>
      <c r="E42" s="23">
        <f>$D42+($F$12-C42)*$F$6</f>
        <v>4893750</v>
      </c>
      <c r="F42" s="22">
        <f>$F$24</f>
        <v>4878645.2524038469</v>
      </c>
      <c r="G42" s="21">
        <f>$D42+J42</f>
        <v>6635016.6749999998</v>
      </c>
      <c r="H42" s="20">
        <f>($F$12-C42)*$F$6</f>
        <v>-1811250.0000000005</v>
      </c>
      <c r="I42" s="19">
        <f>$F$24-D42</f>
        <v>-1826354.7475961531</v>
      </c>
      <c r="J42" s="7">
        <f>fv_put_outlay+MAX(0,(x_put-gbpusd_1y_scenario)*recievable)</f>
        <v>-69983.325000000012</v>
      </c>
      <c r="K42" s="18" t="str">
        <f>IF(E42= MAX(D42,E42,F42,G42),$E$32,IF(F42= MAX(D42,E42,F42,G42),$F$32,IF(G42= MAX(D42,E42,F42,G42),$G$32,$D$32)))</f>
        <v>0. No Hedge</v>
      </c>
      <c r="L42" s="17" t="str">
        <f>IF(E42= MAX(E42,F42,G42),$E$32,IF(F42= MAX(E42,F42,G42),$F$32,$G$32))</f>
        <v>3. Option Hedge</v>
      </c>
      <c r="M42" s="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4" thickBot="1" x14ac:dyDescent="0.3">
      <c r="A43" s="16"/>
      <c r="B43" s="26"/>
      <c r="C43" s="25">
        <f>C42+0.01</f>
        <v>1.5</v>
      </c>
      <c r="D43" s="24">
        <f>C43*$F$6</f>
        <v>6750000</v>
      </c>
      <c r="E43" s="23">
        <f>$D43+($F$12-C43)*$F$6</f>
        <v>4893750</v>
      </c>
      <c r="F43" s="22">
        <f>$F$24</f>
        <v>4878645.2524038469</v>
      </c>
      <c r="G43" s="21">
        <f>$D43+J43</f>
        <v>6680016.6749999998</v>
      </c>
      <c r="H43" s="20">
        <f>($F$12-C43)*$F$6</f>
        <v>-1856250.0000000005</v>
      </c>
      <c r="I43" s="19">
        <f>$F$24-D43</f>
        <v>-1871354.7475961531</v>
      </c>
      <c r="J43" s="7">
        <f>fv_put_outlay+MAX(0,(x_put-gbpusd_1y_scenario)*recievable)</f>
        <v>-69983.325000000012</v>
      </c>
      <c r="K43" s="18" t="str">
        <f>IF(E43= MAX(D43,E43,F43,G43),$E$32,IF(F43= MAX(D43,E43,F43,G43),$F$32,IF(G43= MAX(D43,E43,F43,G43),$G$32,$D$32)))</f>
        <v>0. No Hedge</v>
      </c>
      <c r="L43" s="17" t="str">
        <f>IF(E43= MAX(E43,F43,G43),$E$32,IF(F43= MAX(E43,F43,G43),$F$32,$G$32))</f>
        <v>3. Option Hedge</v>
      </c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4" thickBot="1" x14ac:dyDescent="0.3">
      <c r="A44" s="16"/>
      <c r="B44" s="26"/>
      <c r="C44" s="25">
        <f>C43+0.01</f>
        <v>1.51</v>
      </c>
      <c r="D44" s="24">
        <f>C44*$F$6</f>
        <v>6795000</v>
      </c>
      <c r="E44" s="23">
        <f>$D44+($F$12-C44)*$F$6</f>
        <v>4893750</v>
      </c>
      <c r="F44" s="22">
        <f>$F$24</f>
        <v>4878645.2524038469</v>
      </c>
      <c r="G44" s="21">
        <f>$D44+J44</f>
        <v>6725016.6749999998</v>
      </c>
      <c r="H44" s="20">
        <f>($F$12-C44)*$F$6</f>
        <v>-1901250.0000000005</v>
      </c>
      <c r="I44" s="19">
        <f>$F$24-D44</f>
        <v>-1916354.7475961531</v>
      </c>
      <c r="J44" s="7">
        <f>fv_put_outlay+MAX(0,(x_put-gbpusd_1y_scenario)*recievable)</f>
        <v>-69983.325000000012</v>
      </c>
      <c r="K44" s="18" t="str">
        <f>IF(E44= MAX(D44,E44,F44,G44),$E$32,IF(F44= MAX(D44,E44,F44,G44),$F$32,IF(G44= MAX(D44,E44,F44,G44),$G$32,$D$32)))</f>
        <v>0. No Hedge</v>
      </c>
      <c r="L44" s="17" t="str">
        <f>IF(E44= MAX(E44,F44,G44),$E$32,IF(F44= MAX(E44,F44,G44),$F$32,$G$32))</f>
        <v>3. Option Hedge</v>
      </c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24" thickBot="1" x14ac:dyDescent="0.3">
      <c r="A45" s="16"/>
      <c r="B45" s="15"/>
      <c r="C45" s="14">
        <f>C44+0.01</f>
        <v>1.52</v>
      </c>
      <c r="D45" s="13">
        <f>C45*$F$6</f>
        <v>6840000</v>
      </c>
      <c r="E45" s="12">
        <f>$D45+($F$12-C45)*$F$6</f>
        <v>4893750</v>
      </c>
      <c r="F45" s="11">
        <f>$F$24</f>
        <v>4878645.2524038469</v>
      </c>
      <c r="G45" s="10">
        <f>$D45+J45</f>
        <v>6770016.6749999998</v>
      </c>
      <c r="H45" s="9">
        <f>($F$12-C45)*$F$6</f>
        <v>-1946250.0000000005</v>
      </c>
      <c r="I45" s="8">
        <f>$F$24-D45</f>
        <v>-1961354.7475961531</v>
      </c>
      <c r="J45" s="7">
        <f>fv_put_outlay+MAX(0,(x_put-gbpusd_1y_scenario)*recievable)</f>
        <v>-69983.325000000012</v>
      </c>
      <c r="K45" s="6" t="str">
        <f>IF(E45= MAX(D45,E45,F45,G45),$E$32,IF(F45= MAX(D45,E45,F45,G45),$F$32,IF(G45= MAX(D45,E45,F45,G45),$G$32,$D$32)))</f>
        <v>0. No Hedge</v>
      </c>
      <c r="L45" s="5" t="str">
        <f>IF(E45= MAX(E45,F45,G45),$E$32,IF(F45= MAX(E45,F45,G45),$F$32,$G$32))</f>
        <v>3. Option Hedge</v>
      </c>
      <c r="M45" s="4" t="s">
        <v>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15">
      <c r="A46" s="2"/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1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1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1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15">
      <c r="A50" s="2"/>
      <c r="B50" s="1"/>
      <c r="C50" s="1" t="s">
        <v>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23" x14ac:dyDescent="0.1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23" x14ac:dyDescent="0.1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23" x14ac:dyDescent="0.1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23" x14ac:dyDescent="0.1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23" x14ac:dyDescent="0.1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23" x14ac:dyDescent="0.1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3" x14ac:dyDescent="0.1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23" x14ac:dyDescent="0.1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23" x14ac:dyDescent="0.1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23" x14ac:dyDescent="0.1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23" x14ac:dyDescent="0.1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3" x14ac:dyDescent="0.1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23" x14ac:dyDescent="0.1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3" x14ac:dyDescent="0.1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3" x14ac:dyDescent="0.1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3" x14ac:dyDescent="0.1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3" x14ac:dyDescent="0.1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3" x14ac:dyDescent="0.1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3" x14ac:dyDescent="0.1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23" x14ac:dyDescent="0.1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3" x14ac:dyDescent="0.1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3" x14ac:dyDescent="0.1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23" x14ac:dyDescent="0.1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23" x14ac:dyDescent="0.1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23" x14ac:dyDescent="0.1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23" x14ac:dyDescent="0.1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23" x14ac:dyDescent="0.1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3" x14ac:dyDescent="0.1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23" x14ac:dyDescent="0.1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23" x14ac:dyDescent="0.1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23" x14ac:dyDescent="0.1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23" x14ac:dyDescent="0.1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23" x14ac:dyDescent="0.1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23" x14ac:dyDescent="0.1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23" x14ac:dyDescent="0.1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23" x14ac:dyDescent="0.1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23" x14ac:dyDescent="0.1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23" x14ac:dyDescent="0.1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23" x14ac:dyDescent="0.1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23" x14ac:dyDescent="0.1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23" x14ac:dyDescent="0.1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3" x14ac:dyDescent="0.1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23" x14ac:dyDescent="0.1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3" x14ac:dyDescent="0.1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3" x14ac:dyDescent="0.1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23" x14ac:dyDescent="0.1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23" x14ac:dyDescent="0.1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23" x14ac:dyDescent="0.1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23" x14ac:dyDescent="0.1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3" x14ac:dyDescent="0.1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23" x14ac:dyDescent="0.1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23" x14ac:dyDescent="0.1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23" x14ac:dyDescent="0.1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23" x14ac:dyDescent="0.1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23" x14ac:dyDescent="0.1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23" x14ac:dyDescent="0.1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23" x14ac:dyDescent="0.1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23" x14ac:dyDescent="0.1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23" x14ac:dyDescent="0.1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23" x14ac:dyDescent="0.1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23" x14ac:dyDescent="0.1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23" x14ac:dyDescent="0.1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23" x14ac:dyDescent="0.1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23" x14ac:dyDescent="0.1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23" x14ac:dyDescent="0.1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23" x14ac:dyDescent="0.1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23" x14ac:dyDescent="0.1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23" x14ac:dyDescent="0.1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23" x14ac:dyDescent="0.1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23" x14ac:dyDescent="0.1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3" x14ac:dyDescent="0.1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3" x14ac:dyDescent="0.1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3" x14ac:dyDescent="0.1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3" x14ac:dyDescent="0.1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23" x14ac:dyDescent="0.1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23" x14ac:dyDescent="0.1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23" x14ac:dyDescent="0.1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23" x14ac:dyDescent="0.1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23" x14ac:dyDescent="0.1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23" x14ac:dyDescent="0.1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23" x14ac:dyDescent="0.1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23" x14ac:dyDescent="0.1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23" x14ac:dyDescent="0.1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23" x14ac:dyDescent="0.1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23" x14ac:dyDescent="0.1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23" x14ac:dyDescent="0.1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23" x14ac:dyDescent="0.1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23" x14ac:dyDescent="0.1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23" x14ac:dyDescent="0.1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23" x14ac:dyDescent="0.1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23" x14ac:dyDescent="0.1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23" x14ac:dyDescent="0.1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23" x14ac:dyDescent="0.1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23" x14ac:dyDescent="0.1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23" x14ac:dyDescent="0.1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23" x14ac:dyDescent="0.1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23" x14ac:dyDescent="0.1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23" x14ac:dyDescent="0.1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23" x14ac:dyDescent="0.1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23" x14ac:dyDescent="0.1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23" x14ac:dyDescent="0.1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23" x14ac:dyDescent="0.1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23" x14ac:dyDescent="0.1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23" x14ac:dyDescent="0.1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23" x14ac:dyDescent="0.1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23" x14ac:dyDescent="0.1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23" x14ac:dyDescent="0.1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23" x14ac:dyDescent="0.1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23" x14ac:dyDescent="0.1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23" x14ac:dyDescent="0.1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23" x14ac:dyDescent="0.1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23" x14ac:dyDescent="0.1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23" x14ac:dyDescent="0.1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23" x14ac:dyDescent="0.1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23" x14ac:dyDescent="0.1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23" x14ac:dyDescent="0.1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23" x14ac:dyDescent="0.1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23" x14ac:dyDescent="0.1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23" x14ac:dyDescent="0.1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23" x14ac:dyDescent="0.1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23" x14ac:dyDescent="0.1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23" x14ac:dyDescent="0.1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23" x14ac:dyDescent="0.1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23" x14ac:dyDescent="0.1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23" x14ac:dyDescent="0.1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23" x14ac:dyDescent="0.1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23" x14ac:dyDescent="0.1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23" x14ac:dyDescent="0.1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23" x14ac:dyDescent="0.1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23" x14ac:dyDescent="0.1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23" x14ac:dyDescent="0.1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23" x14ac:dyDescent="0.1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23" x14ac:dyDescent="0.1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23" x14ac:dyDescent="0.1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23" x14ac:dyDescent="0.1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23" x14ac:dyDescent="0.1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23" x14ac:dyDescent="0.1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23" x14ac:dyDescent="0.1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23" x14ac:dyDescent="0.1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23" x14ac:dyDescent="0.1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23" x14ac:dyDescent="0.1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23" x14ac:dyDescent="0.1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23" x14ac:dyDescent="0.1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23" x14ac:dyDescent="0.1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23" x14ac:dyDescent="0.1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23" x14ac:dyDescent="0.1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23" x14ac:dyDescent="0.1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23" x14ac:dyDescent="0.1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23" x14ac:dyDescent="0.1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23" x14ac:dyDescent="0.1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23" x14ac:dyDescent="0.1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23" x14ac:dyDescent="0.1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23" x14ac:dyDescent="0.1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23" x14ac:dyDescent="0.1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23" x14ac:dyDescent="0.1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23" x14ac:dyDescent="0.1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23" x14ac:dyDescent="0.1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23" x14ac:dyDescent="0.1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23" x14ac:dyDescent="0.1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23" x14ac:dyDescent="0.1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23" x14ac:dyDescent="0.1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23" x14ac:dyDescent="0.1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23" x14ac:dyDescent="0.1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23" x14ac:dyDescent="0.1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23" x14ac:dyDescent="0.1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23" x14ac:dyDescent="0.1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23" x14ac:dyDescent="0.1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23" x14ac:dyDescent="0.1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23" x14ac:dyDescent="0.1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23" x14ac:dyDescent="0.1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23" x14ac:dyDescent="0.1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23" x14ac:dyDescent="0.1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23" x14ac:dyDescent="0.1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23" x14ac:dyDescent="0.1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23" x14ac:dyDescent="0.1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23" x14ac:dyDescent="0.1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23" x14ac:dyDescent="0.1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23" x14ac:dyDescent="0.1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23" x14ac:dyDescent="0.1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23" x14ac:dyDescent="0.1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23" x14ac:dyDescent="0.1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23" x14ac:dyDescent="0.1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23" x14ac:dyDescent="0.1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23" x14ac:dyDescent="0.1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23" x14ac:dyDescent="0.1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23" x14ac:dyDescent="0.1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23" x14ac:dyDescent="0.1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23" x14ac:dyDescent="0.1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23" x14ac:dyDescent="0.1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23" x14ac:dyDescent="0.1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23" x14ac:dyDescent="0.1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23" x14ac:dyDescent="0.1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23" x14ac:dyDescent="0.1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23" x14ac:dyDescent="0.1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23" x14ac:dyDescent="0.1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23" x14ac:dyDescent="0.1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23" x14ac:dyDescent="0.1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23" x14ac:dyDescent="0.1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23" x14ac:dyDescent="0.1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23" x14ac:dyDescent="0.1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23" x14ac:dyDescent="0.1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23" x14ac:dyDescent="0.1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23" x14ac:dyDescent="0.1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23" x14ac:dyDescent="0.1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23" x14ac:dyDescent="0.1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23" x14ac:dyDescent="0.1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23" x14ac:dyDescent="0.1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23" x14ac:dyDescent="0.1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23" x14ac:dyDescent="0.1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23" x14ac:dyDescent="0.1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23" x14ac:dyDescent="0.1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23" x14ac:dyDescent="0.1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23" x14ac:dyDescent="0.1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23" x14ac:dyDescent="0.1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23" x14ac:dyDescent="0.1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23" x14ac:dyDescent="0.1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23" x14ac:dyDescent="0.1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23" x14ac:dyDescent="0.1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23" x14ac:dyDescent="0.1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23" x14ac:dyDescent="0.1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23" x14ac:dyDescent="0.1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23" x14ac:dyDescent="0.1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23" x14ac:dyDescent="0.1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23" x14ac:dyDescent="0.1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23" x14ac:dyDescent="0.1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23" x14ac:dyDescent="0.1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23" x14ac:dyDescent="0.1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23" x14ac:dyDescent="0.1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23" x14ac:dyDescent="0.1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23" x14ac:dyDescent="0.1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23" x14ac:dyDescent="0.1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23" x14ac:dyDescent="0.1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23" x14ac:dyDescent="0.1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23" x14ac:dyDescent="0.1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23" x14ac:dyDescent="0.1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23" x14ac:dyDescent="0.1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23" x14ac:dyDescent="0.1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23" x14ac:dyDescent="0.1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23" x14ac:dyDescent="0.1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23" x14ac:dyDescent="0.1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23" x14ac:dyDescent="0.1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23" x14ac:dyDescent="0.1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23" x14ac:dyDescent="0.1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23" x14ac:dyDescent="0.1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23" x14ac:dyDescent="0.1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23" x14ac:dyDescent="0.1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23" x14ac:dyDescent="0.1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23" x14ac:dyDescent="0.1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23" x14ac:dyDescent="0.1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23" x14ac:dyDescent="0.1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23" x14ac:dyDescent="0.1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23" x14ac:dyDescent="0.1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23" x14ac:dyDescent="0.1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23" x14ac:dyDescent="0.1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23" x14ac:dyDescent="0.1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23" x14ac:dyDescent="0.1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23" x14ac:dyDescent="0.15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23" x14ac:dyDescent="0.1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23" x14ac:dyDescent="0.15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23" x14ac:dyDescent="0.1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23" x14ac:dyDescent="0.15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23" x14ac:dyDescent="0.1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23" x14ac:dyDescent="0.15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23" x14ac:dyDescent="0.1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23" x14ac:dyDescent="0.1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23" x14ac:dyDescent="0.1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23" x14ac:dyDescent="0.15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23" x14ac:dyDescent="0.1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23" x14ac:dyDescent="0.15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23" x14ac:dyDescent="0.1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23" x14ac:dyDescent="0.15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23" x14ac:dyDescent="0.1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23" x14ac:dyDescent="0.15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23" x14ac:dyDescent="0.1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23" x14ac:dyDescent="0.1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23" x14ac:dyDescent="0.1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23" x14ac:dyDescent="0.15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23" x14ac:dyDescent="0.1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23" x14ac:dyDescent="0.15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23" x14ac:dyDescent="0.15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23" x14ac:dyDescent="0.15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23" x14ac:dyDescent="0.15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23" x14ac:dyDescent="0.15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23" x14ac:dyDescent="0.15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23" x14ac:dyDescent="0.1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23" x14ac:dyDescent="0.15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23" x14ac:dyDescent="0.15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23" x14ac:dyDescent="0.15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23" x14ac:dyDescent="0.15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23" x14ac:dyDescent="0.15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23" x14ac:dyDescent="0.15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23" x14ac:dyDescent="0.15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23" x14ac:dyDescent="0.15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23" x14ac:dyDescent="0.1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23" x14ac:dyDescent="0.1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23" x14ac:dyDescent="0.15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23" x14ac:dyDescent="0.15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23" x14ac:dyDescent="0.15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23" x14ac:dyDescent="0.15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23" x14ac:dyDescent="0.15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23" x14ac:dyDescent="0.15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23" x14ac:dyDescent="0.15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23" x14ac:dyDescent="0.15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23" x14ac:dyDescent="0.15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23" x14ac:dyDescent="0.1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23" x14ac:dyDescent="0.15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23" x14ac:dyDescent="0.15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23" x14ac:dyDescent="0.15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23" x14ac:dyDescent="0.15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23" x14ac:dyDescent="0.15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23" x14ac:dyDescent="0.15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23" x14ac:dyDescent="0.15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23" x14ac:dyDescent="0.15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23" x14ac:dyDescent="0.15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23" x14ac:dyDescent="0.1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23" x14ac:dyDescent="0.15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23" x14ac:dyDescent="0.15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23" x14ac:dyDescent="0.15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23" x14ac:dyDescent="0.15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23" x14ac:dyDescent="0.15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23" x14ac:dyDescent="0.15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23" x14ac:dyDescent="0.15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23" x14ac:dyDescent="0.15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23" x14ac:dyDescent="0.15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23" x14ac:dyDescent="0.1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23" x14ac:dyDescent="0.15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23" x14ac:dyDescent="0.15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23" x14ac:dyDescent="0.15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23" x14ac:dyDescent="0.15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23" x14ac:dyDescent="0.15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23" x14ac:dyDescent="0.15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23" x14ac:dyDescent="0.15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23" x14ac:dyDescent="0.15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23" x14ac:dyDescent="0.15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23" x14ac:dyDescent="0.1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23" x14ac:dyDescent="0.15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23" x14ac:dyDescent="0.15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23" x14ac:dyDescent="0.15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23" x14ac:dyDescent="0.15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23" x14ac:dyDescent="0.15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23" x14ac:dyDescent="0.1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23" x14ac:dyDescent="0.15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23" x14ac:dyDescent="0.15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23" x14ac:dyDescent="0.15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23" x14ac:dyDescent="0.1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23" x14ac:dyDescent="0.15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23" x14ac:dyDescent="0.15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23" x14ac:dyDescent="0.15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23" x14ac:dyDescent="0.15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23" x14ac:dyDescent="0.15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23" x14ac:dyDescent="0.15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23" x14ac:dyDescent="0.15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23" x14ac:dyDescent="0.15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23" x14ac:dyDescent="0.15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23" x14ac:dyDescent="0.1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23" x14ac:dyDescent="0.15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23" x14ac:dyDescent="0.1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23" x14ac:dyDescent="0.1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23" x14ac:dyDescent="0.15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23" x14ac:dyDescent="0.1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23" x14ac:dyDescent="0.15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23" x14ac:dyDescent="0.15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23" x14ac:dyDescent="0.15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23" x14ac:dyDescent="0.15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23" x14ac:dyDescent="0.1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23" x14ac:dyDescent="0.15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23" x14ac:dyDescent="0.1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23" x14ac:dyDescent="0.15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23" x14ac:dyDescent="0.15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23" x14ac:dyDescent="0.15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23" x14ac:dyDescent="0.15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23" x14ac:dyDescent="0.15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23" x14ac:dyDescent="0.15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23" x14ac:dyDescent="0.15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23" x14ac:dyDescent="0.1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23" x14ac:dyDescent="0.15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23" x14ac:dyDescent="0.15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23" x14ac:dyDescent="0.15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23" x14ac:dyDescent="0.15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23" x14ac:dyDescent="0.15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23" x14ac:dyDescent="0.15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23" x14ac:dyDescent="0.15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23" x14ac:dyDescent="0.15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23" x14ac:dyDescent="0.15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23" x14ac:dyDescent="0.1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23" x14ac:dyDescent="0.15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23" x14ac:dyDescent="0.15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23" x14ac:dyDescent="0.15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23" x14ac:dyDescent="0.15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23" x14ac:dyDescent="0.15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23" x14ac:dyDescent="0.15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23" x14ac:dyDescent="0.15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23" x14ac:dyDescent="0.15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23" x14ac:dyDescent="0.15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23" x14ac:dyDescent="0.1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23" x14ac:dyDescent="0.15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23" x14ac:dyDescent="0.15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23" x14ac:dyDescent="0.15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23" x14ac:dyDescent="0.15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23" x14ac:dyDescent="0.15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23" x14ac:dyDescent="0.15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23" x14ac:dyDescent="0.15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23" x14ac:dyDescent="0.15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23" x14ac:dyDescent="0.15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23" x14ac:dyDescent="0.1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23" x14ac:dyDescent="0.15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23" x14ac:dyDescent="0.15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23" x14ac:dyDescent="0.15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23" x14ac:dyDescent="0.15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23" x14ac:dyDescent="0.15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23" x14ac:dyDescent="0.15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23" x14ac:dyDescent="0.15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23" x14ac:dyDescent="0.15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23" x14ac:dyDescent="0.15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23" x14ac:dyDescent="0.1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23" x14ac:dyDescent="0.15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23" x14ac:dyDescent="0.15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23" x14ac:dyDescent="0.15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23" x14ac:dyDescent="0.15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23" x14ac:dyDescent="0.15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23" x14ac:dyDescent="0.15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23" x14ac:dyDescent="0.15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23" x14ac:dyDescent="0.15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23" x14ac:dyDescent="0.15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23" x14ac:dyDescent="0.1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23" x14ac:dyDescent="0.15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23" x14ac:dyDescent="0.15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23" x14ac:dyDescent="0.15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23" x14ac:dyDescent="0.15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23" x14ac:dyDescent="0.15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23" x14ac:dyDescent="0.15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23" x14ac:dyDescent="0.15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23" x14ac:dyDescent="0.15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23" x14ac:dyDescent="0.15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23" x14ac:dyDescent="0.1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23" x14ac:dyDescent="0.15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23" x14ac:dyDescent="0.15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23" x14ac:dyDescent="0.15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23" x14ac:dyDescent="0.15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23" x14ac:dyDescent="0.15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23" x14ac:dyDescent="0.15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23" x14ac:dyDescent="0.15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23" x14ac:dyDescent="0.15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23" x14ac:dyDescent="0.15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23" x14ac:dyDescent="0.1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23" x14ac:dyDescent="0.15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23" x14ac:dyDescent="0.15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23" x14ac:dyDescent="0.15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23" x14ac:dyDescent="0.15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23" x14ac:dyDescent="0.15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23" x14ac:dyDescent="0.15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23" x14ac:dyDescent="0.15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23" x14ac:dyDescent="0.15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23" x14ac:dyDescent="0.15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23" x14ac:dyDescent="0.1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23" x14ac:dyDescent="0.15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23" x14ac:dyDescent="0.15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23" x14ac:dyDescent="0.15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23" x14ac:dyDescent="0.15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23" x14ac:dyDescent="0.15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23" x14ac:dyDescent="0.15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23" x14ac:dyDescent="0.1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23" x14ac:dyDescent="0.15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23" x14ac:dyDescent="0.15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23" x14ac:dyDescent="0.1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23" x14ac:dyDescent="0.15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23" x14ac:dyDescent="0.15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23" x14ac:dyDescent="0.15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23" x14ac:dyDescent="0.15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23" x14ac:dyDescent="0.15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23" x14ac:dyDescent="0.15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23" x14ac:dyDescent="0.1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23" x14ac:dyDescent="0.1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23" x14ac:dyDescent="0.1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23" x14ac:dyDescent="0.1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23" x14ac:dyDescent="0.1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23" x14ac:dyDescent="0.1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23" x14ac:dyDescent="0.1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23" x14ac:dyDescent="0.1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23" x14ac:dyDescent="0.1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23" x14ac:dyDescent="0.1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23" x14ac:dyDescent="0.15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23" x14ac:dyDescent="0.15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23" x14ac:dyDescent="0.15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23" x14ac:dyDescent="0.1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23" x14ac:dyDescent="0.15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23" x14ac:dyDescent="0.15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23" x14ac:dyDescent="0.15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23" x14ac:dyDescent="0.15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23" x14ac:dyDescent="0.15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23" x14ac:dyDescent="0.15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23" x14ac:dyDescent="0.1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23" x14ac:dyDescent="0.1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23" x14ac:dyDescent="0.1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23" x14ac:dyDescent="0.1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23" x14ac:dyDescent="0.1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23" x14ac:dyDescent="0.1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23" x14ac:dyDescent="0.1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23" x14ac:dyDescent="0.1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23" x14ac:dyDescent="0.1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23" x14ac:dyDescent="0.1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23" x14ac:dyDescent="0.15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23" x14ac:dyDescent="0.15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23" x14ac:dyDescent="0.15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23" x14ac:dyDescent="0.1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23" x14ac:dyDescent="0.15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23" x14ac:dyDescent="0.15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23" x14ac:dyDescent="0.15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23" x14ac:dyDescent="0.15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23" x14ac:dyDescent="0.15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23" x14ac:dyDescent="0.15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23" x14ac:dyDescent="0.15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23" x14ac:dyDescent="0.1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23" x14ac:dyDescent="0.15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23" x14ac:dyDescent="0.1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23" x14ac:dyDescent="0.15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23" x14ac:dyDescent="0.15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23" x14ac:dyDescent="0.15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23" x14ac:dyDescent="0.15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23" x14ac:dyDescent="0.15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23" x14ac:dyDescent="0.15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23" x14ac:dyDescent="0.15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23" x14ac:dyDescent="0.15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23" x14ac:dyDescent="0.15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23" x14ac:dyDescent="0.1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23" x14ac:dyDescent="0.15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23" x14ac:dyDescent="0.15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23" x14ac:dyDescent="0.15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23" x14ac:dyDescent="0.15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23" x14ac:dyDescent="0.15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23" x14ac:dyDescent="0.15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23" x14ac:dyDescent="0.15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23" x14ac:dyDescent="0.15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23" x14ac:dyDescent="0.15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23" x14ac:dyDescent="0.1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23" x14ac:dyDescent="0.15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23" x14ac:dyDescent="0.15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23" x14ac:dyDescent="0.15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23" x14ac:dyDescent="0.15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23" x14ac:dyDescent="0.15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23" x14ac:dyDescent="0.15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23" x14ac:dyDescent="0.15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23" x14ac:dyDescent="0.15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23" x14ac:dyDescent="0.15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23" x14ac:dyDescent="0.1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23" x14ac:dyDescent="0.15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23" x14ac:dyDescent="0.15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23" x14ac:dyDescent="0.15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23" x14ac:dyDescent="0.15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23" x14ac:dyDescent="0.15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23" x14ac:dyDescent="0.15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23" x14ac:dyDescent="0.1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23" x14ac:dyDescent="0.1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23" x14ac:dyDescent="0.1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23" x14ac:dyDescent="0.1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23" x14ac:dyDescent="0.1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23" x14ac:dyDescent="0.1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23" x14ac:dyDescent="0.1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23" x14ac:dyDescent="0.1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23" x14ac:dyDescent="0.1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23" x14ac:dyDescent="0.1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23" x14ac:dyDescent="0.1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23" x14ac:dyDescent="0.1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23" x14ac:dyDescent="0.1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23" x14ac:dyDescent="0.1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23" x14ac:dyDescent="0.1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23" x14ac:dyDescent="0.1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23" x14ac:dyDescent="0.1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23" x14ac:dyDescent="0.1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23" x14ac:dyDescent="0.1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23" x14ac:dyDescent="0.1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23" x14ac:dyDescent="0.1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23" x14ac:dyDescent="0.1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23" x14ac:dyDescent="0.1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23" x14ac:dyDescent="0.1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23" x14ac:dyDescent="0.1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23" x14ac:dyDescent="0.1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23" x14ac:dyDescent="0.1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23" x14ac:dyDescent="0.1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23" x14ac:dyDescent="0.1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23" x14ac:dyDescent="0.1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23" x14ac:dyDescent="0.1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23" x14ac:dyDescent="0.1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23" x14ac:dyDescent="0.1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23" x14ac:dyDescent="0.1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23" x14ac:dyDescent="0.1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23" x14ac:dyDescent="0.1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23" x14ac:dyDescent="0.1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23" x14ac:dyDescent="0.1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23" x14ac:dyDescent="0.1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23" x14ac:dyDescent="0.1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23" x14ac:dyDescent="0.1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23" x14ac:dyDescent="0.1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23" x14ac:dyDescent="0.1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23" x14ac:dyDescent="0.1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23" x14ac:dyDescent="0.1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23" x14ac:dyDescent="0.1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23" x14ac:dyDescent="0.1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23" x14ac:dyDescent="0.1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23" x14ac:dyDescent="0.1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23" x14ac:dyDescent="0.1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23" x14ac:dyDescent="0.1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23" x14ac:dyDescent="0.1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23" x14ac:dyDescent="0.1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23" x14ac:dyDescent="0.1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23" x14ac:dyDescent="0.1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23" x14ac:dyDescent="0.1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23" x14ac:dyDescent="0.1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23" x14ac:dyDescent="0.1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23" x14ac:dyDescent="0.1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23" x14ac:dyDescent="0.1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23" x14ac:dyDescent="0.1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23" x14ac:dyDescent="0.1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23" x14ac:dyDescent="0.1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23" x14ac:dyDescent="0.1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23" x14ac:dyDescent="0.1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23" x14ac:dyDescent="0.1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23" x14ac:dyDescent="0.1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23" x14ac:dyDescent="0.1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23" x14ac:dyDescent="0.1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23" x14ac:dyDescent="0.1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23" x14ac:dyDescent="0.1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23" x14ac:dyDescent="0.1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23" x14ac:dyDescent="0.1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23" x14ac:dyDescent="0.1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23" x14ac:dyDescent="0.1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23" x14ac:dyDescent="0.1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23" x14ac:dyDescent="0.1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23" x14ac:dyDescent="0.1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23" x14ac:dyDescent="0.1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23" x14ac:dyDescent="0.1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23" x14ac:dyDescent="0.1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23" x14ac:dyDescent="0.1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23" x14ac:dyDescent="0.1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23" x14ac:dyDescent="0.1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23" x14ac:dyDescent="0.1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23" x14ac:dyDescent="0.1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23" x14ac:dyDescent="0.1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23" x14ac:dyDescent="0.1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23" x14ac:dyDescent="0.1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23" x14ac:dyDescent="0.1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23" x14ac:dyDescent="0.1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23" x14ac:dyDescent="0.1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23" x14ac:dyDescent="0.1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23" x14ac:dyDescent="0.1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23" x14ac:dyDescent="0.1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23" x14ac:dyDescent="0.1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23" x14ac:dyDescent="0.1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23" x14ac:dyDescent="0.1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23" x14ac:dyDescent="0.1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23" x14ac:dyDescent="0.1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23" x14ac:dyDescent="0.1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23" x14ac:dyDescent="0.1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23" x14ac:dyDescent="0.1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23" x14ac:dyDescent="0.1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23" x14ac:dyDescent="0.1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23" x14ac:dyDescent="0.1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23" x14ac:dyDescent="0.1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23" x14ac:dyDescent="0.1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23" x14ac:dyDescent="0.1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23" x14ac:dyDescent="0.1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23" x14ac:dyDescent="0.1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23" x14ac:dyDescent="0.1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23" x14ac:dyDescent="0.1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23" x14ac:dyDescent="0.1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23" x14ac:dyDescent="0.1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23" x14ac:dyDescent="0.1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23" x14ac:dyDescent="0.1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23" x14ac:dyDescent="0.1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23" x14ac:dyDescent="0.1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23" x14ac:dyDescent="0.1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23" x14ac:dyDescent="0.1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23" x14ac:dyDescent="0.1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23" x14ac:dyDescent="0.1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23" x14ac:dyDescent="0.1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23" x14ac:dyDescent="0.1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23" x14ac:dyDescent="0.1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23" x14ac:dyDescent="0.1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23" x14ac:dyDescent="0.1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23" x14ac:dyDescent="0.1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23" x14ac:dyDescent="0.1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23" x14ac:dyDescent="0.1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23" x14ac:dyDescent="0.1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23" x14ac:dyDescent="0.1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23" x14ac:dyDescent="0.1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23" x14ac:dyDescent="0.1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23" x14ac:dyDescent="0.1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23" x14ac:dyDescent="0.1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23" x14ac:dyDescent="0.1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23" x14ac:dyDescent="0.1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23" x14ac:dyDescent="0.1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23" x14ac:dyDescent="0.1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23" x14ac:dyDescent="0.1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23" x14ac:dyDescent="0.1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23" x14ac:dyDescent="0.1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23" x14ac:dyDescent="0.1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23" x14ac:dyDescent="0.1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23" x14ac:dyDescent="0.1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23" x14ac:dyDescent="0.1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23" x14ac:dyDescent="0.1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23" x14ac:dyDescent="0.1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23" x14ac:dyDescent="0.1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23" x14ac:dyDescent="0.1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23" x14ac:dyDescent="0.1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23" x14ac:dyDescent="0.1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23" x14ac:dyDescent="0.1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23" x14ac:dyDescent="0.1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23" x14ac:dyDescent="0.1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23" x14ac:dyDescent="0.1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23" x14ac:dyDescent="0.1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23" x14ac:dyDescent="0.1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23" x14ac:dyDescent="0.1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23" x14ac:dyDescent="0.1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23" x14ac:dyDescent="0.1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23" x14ac:dyDescent="0.1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23" x14ac:dyDescent="0.1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23" x14ac:dyDescent="0.1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23" x14ac:dyDescent="0.1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23" x14ac:dyDescent="0.1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23" x14ac:dyDescent="0.1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23" x14ac:dyDescent="0.1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23" x14ac:dyDescent="0.1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23" x14ac:dyDescent="0.1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23" x14ac:dyDescent="0.1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23" x14ac:dyDescent="0.1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23" x14ac:dyDescent="0.1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23" x14ac:dyDescent="0.1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23" x14ac:dyDescent="0.1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23" x14ac:dyDescent="0.1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23" x14ac:dyDescent="0.1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23" x14ac:dyDescent="0.1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23" x14ac:dyDescent="0.1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23" x14ac:dyDescent="0.1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23" x14ac:dyDescent="0.1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23" x14ac:dyDescent="0.1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23" x14ac:dyDescent="0.1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23" x14ac:dyDescent="0.1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23" x14ac:dyDescent="0.1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23" x14ac:dyDescent="0.1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23" x14ac:dyDescent="0.1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23" x14ac:dyDescent="0.1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23" x14ac:dyDescent="0.1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23" x14ac:dyDescent="0.1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23" x14ac:dyDescent="0.1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23" x14ac:dyDescent="0.1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23" x14ac:dyDescent="0.1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23" x14ac:dyDescent="0.1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23" x14ac:dyDescent="0.1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23" x14ac:dyDescent="0.1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23" x14ac:dyDescent="0.1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23" x14ac:dyDescent="0.1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23" x14ac:dyDescent="0.1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23" x14ac:dyDescent="0.1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23" x14ac:dyDescent="0.1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23" x14ac:dyDescent="0.1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23" x14ac:dyDescent="0.1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23" x14ac:dyDescent="0.1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23" x14ac:dyDescent="0.1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23" x14ac:dyDescent="0.1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23" x14ac:dyDescent="0.1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23" x14ac:dyDescent="0.1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23" x14ac:dyDescent="0.1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23" x14ac:dyDescent="0.1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23" x14ac:dyDescent="0.1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23" x14ac:dyDescent="0.1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23" x14ac:dyDescent="0.1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23" x14ac:dyDescent="0.1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23" x14ac:dyDescent="0.1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23" x14ac:dyDescent="0.1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23" x14ac:dyDescent="0.1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23" x14ac:dyDescent="0.1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23" x14ac:dyDescent="0.1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23" x14ac:dyDescent="0.1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23" x14ac:dyDescent="0.1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23" x14ac:dyDescent="0.1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23" x14ac:dyDescent="0.1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23" x14ac:dyDescent="0.1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23" x14ac:dyDescent="0.1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23" x14ac:dyDescent="0.1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23" x14ac:dyDescent="0.1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23" x14ac:dyDescent="0.1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23" x14ac:dyDescent="0.1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23" x14ac:dyDescent="0.1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23" x14ac:dyDescent="0.1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23" x14ac:dyDescent="0.1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23" x14ac:dyDescent="0.1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23" x14ac:dyDescent="0.1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23" x14ac:dyDescent="0.1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23" x14ac:dyDescent="0.1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23" x14ac:dyDescent="0.1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23" x14ac:dyDescent="0.1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23" x14ac:dyDescent="0.1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23" x14ac:dyDescent="0.1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23" x14ac:dyDescent="0.1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23" x14ac:dyDescent="0.1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23" x14ac:dyDescent="0.1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23" x14ac:dyDescent="0.1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23" x14ac:dyDescent="0.1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23" x14ac:dyDescent="0.1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23" x14ac:dyDescent="0.1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23" x14ac:dyDescent="0.1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23" x14ac:dyDescent="0.1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23" x14ac:dyDescent="0.1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23" x14ac:dyDescent="0.1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23" x14ac:dyDescent="0.1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23" x14ac:dyDescent="0.1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23" x14ac:dyDescent="0.1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23" x14ac:dyDescent="0.1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23" x14ac:dyDescent="0.1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23" x14ac:dyDescent="0.1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23" x14ac:dyDescent="0.1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23" x14ac:dyDescent="0.1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23" x14ac:dyDescent="0.1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23" x14ac:dyDescent="0.1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23" x14ac:dyDescent="0.1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23" x14ac:dyDescent="0.1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23" x14ac:dyDescent="0.1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23" x14ac:dyDescent="0.1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23" x14ac:dyDescent="0.1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23" x14ac:dyDescent="0.1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23" x14ac:dyDescent="0.1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23" x14ac:dyDescent="0.1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23" x14ac:dyDescent="0.1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23" x14ac:dyDescent="0.1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23" x14ac:dyDescent="0.1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23" x14ac:dyDescent="0.1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23" x14ac:dyDescent="0.1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23" x14ac:dyDescent="0.1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23" x14ac:dyDescent="0.1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23" x14ac:dyDescent="0.1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23" x14ac:dyDescent="0.1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23" x14ac:dyDescent="0.1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23" x14ac:dyDescent="0.1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23" x14ac:dyDescent="0.1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23" x14ac:dyDescent="0.1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23" x14ac:dyDescent="0.1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23" x14ac:dyDescent="0.1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23" x14ac:dyDescent="0.1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23" x14ac:dyDescent="0.1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23" x14ac:dyDescent="0.1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23" x14ac:dyDescent="0.1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23" x14ac:dyDescent="0.1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23" x14ac:dyDescent="0.1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23" x14ac:dyDescent="0.1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23" x14ac:dyDescent="0.1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23" x14ac:dyDescent="0.1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23" x14ac:dyDescent="0.1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23" x14ac:dyDescent="0.1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23" x14ac:dyDescent="0.1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23" x14ac:dyDescent="0.1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23" x14ac:dyDescent="0.1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23" x14ac:dyDescent="0.1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23" x14ac:dyDescent="0.1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23" x14ac:dyDescent="0.1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23" x14ac:dyDescent="0.1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23" x14ac:dyDescent="0.1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23" x14ac:dyDescent="0.1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23" x14ac:dyDescent="0.1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23" x14ac:dyDescent="0.1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23" x14ac:dyDescent="0.1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23" x14ac:dyDescent="0.1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23" x14ac:dyDescent="0.1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23" x14ac:dyDescent="0.1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23" x14ac:dyDescent="0.1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23" x14ac:dyDescent="0.1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23" x14ac:dyDescent="0.1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23" x14ac:dyDescent="0.1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23" x14ac:dyDescent="0.1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23" x14ac:dyDescent="0.1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23" x14ac:dyDescent="0.1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23" x14ac:dyDescent="0.1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23" x14ac:dyDescent="0.1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23" x14ac:dyDescent="0.1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23" x14ac:dyDescent="0.1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23" x14ac:dyDescent="0.1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23" x14ac:dyDescent="0.1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23" x14ac:dyDescent="0.1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23" x14ac:dyDescent="0.1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23" x14ac:dyDescent="0.1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23" x14ac:dyDescent="0.1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23" x14ac:dyDescent="0.1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23" x14ac:dyDescent="0.1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23" x14ac:dyDescent="0.1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23" x14ac:dyDescent="0.1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23" x14ac:dyDescent="0.1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23" x14ac:dyDescent="0.1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23" x14ac:dyDescent="0.1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23" x14ac:dyDescent="0.1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23" x14ac:dyDescent="0.1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23" x14ac:dyDescent="0.1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23" x14ac:dyDescent="0.1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23" x14ac:dyDescent="0.1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23" x14ac:dyDescent="0.1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23" x14ac:dyDescent="0.1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23" x14ac:dyDescent="0.1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23" x14ac:dyDescent="0.1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23" x14ac:dyDescent="0.1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23" x14ac:dyDescent="0.1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23" x14ac:dyDescent="0.1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23" x14ac:dyDescent="0.1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23" x14ac:dyDescent="0.1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23" x14ac:dyDescent="0.1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23" x14ac:dyDescent="0.1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23" x14ac:dyDescent="0.1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23" x14ac:dyDescent="0.1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23" x14ac:dyDescent="0.1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23" x14ac:dyDescent="0.1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23" x14ac:dyDescent="0.1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23" x14ac:dyDescent="0.1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23" x14ac:dyDescent="0.1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23" x14ac:dyDescent="0.1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23" x14ac:dyDescent="0.1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23" x14ac:dyDescent="0.1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23" x14ac:dyDescent="0.1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23" x14ac:dyDescent="0.1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23" x14ac:dyDescent="0.1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23" x14ac:dyDescent="0.1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23" x14ac:dyDescent="0.1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23" x14ac:dyDescent="0.1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23" x14ac:dyDescent="0.1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23" x14ac:dyDescent="0.1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23" x14ac:dyDescent="0.1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23" x14ac:dyDescent="0.1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23" x14ac:dyDescent="0.1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23" x14ac:dyDescent="0.1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23" x14ac:dyDescent="0.1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23" x14ac:dyDescent="0.1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23" x14ac:dyDescent="0.1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23" x14ac:dyDescent="0.1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23" x14ac:dyDescent="0.1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23" x14ac:dyDescent="0.1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23" x14ac:dyDescent="0.1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23" x14ac:dyDescent="0.1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23" x14ac:dyDescent="0.1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23" x14ac:dyDescent="0.1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23" x14ac:dyDescent="0.15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23" x14ac:dyDescent="0.15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23" x14ac:dyDescent="0.15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23" x14ac:dyDescent="0.15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23" x14ac:dyDescent="0.15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23" x14ac:dyDescent="0.15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23" x14ac:dyDescent="0.15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23" x14ac:dyDescent="0.15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23" x14ac:dyDescent="0.15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23" x14ac:dyDescent="0.15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23" x14ac:dyDescent="0.15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23" x14ac:dyDescent="0.15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23" x14ac:dyDescent="0.15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23" x14ac:dyDescent="0.15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23" x14ac:dyDescent="0.15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ht="23" x14ac:dyDescent="0.15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ht="23" x14ac:dyDescent="0.15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ht="23" x14ac:dyDescent="0.15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23" x14ac:dyDescent="0.15">
      <c r="A1004" s="2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23" x14ac:dyDescent="0.15">
      <c r="A1005" s="2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23" x14ac:dyDescent="0.15">
      <c r="A1006" s="2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23" x14ac:dyDescent="0.15">
      <c r="A1007" s="2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ht="23" x14ac:dyDescent="0.15">
      <c r="A1008" s="2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ht="23" x14ac:dyDescent="0.15">
      <c r="A1009" s="2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ht="23" x14ac:dyDescent="0.15">
      <c r="A1010" s="2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ht="23" x14ac:dyDescent="0.15">
      <c r="A1011" s="2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ht="23" x14ac:dyDescent="0.15">
      <c r="A1012" s="2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ht="23" x14ac:dyDescent="0.15">
      <c r="A1013" s="2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ht="23" x14ac:dyDescent="0.15">
      <c r="A1014" s="2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</sheetData>
  <mergeCells count="22">
    <mergeCell ref="G21:J21"/>
    <mergeCell ref="C31:C32"/>
    <mergeCell ref="D31:G31"/>
    <mergeCell ref="H31:J31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K31:L31"/>
    <mergeCell ref="G22:J22"/>
    <mergeCell ref="G23:J23"/>
    <mergeCell ref="G24:J24"/>
    <mergeCell ref="C26:J26"/>
    <mergeCell ref="C27:E27"/>
    <mergeCell ref="C28:E28"/>
    <mergeCell ref="G29:J29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5F8F-3F37-7F45-80F1-4738C9DA8AA8}">
  <dimension ref="A1:B3"/>
  <sheetViews>
    <sheetView tabSelected="1" workbookViewId="0">
      <selection activeCell="A2" sqref="A2"/>
    </sheetView>
  </sheetViews>
  <sheetFormatPr baseColWidth="10" defaultRowHeight="13" x14ac:dyDescent="0.15"/>
  <cols>
    <col min="2" max="2" width="60.1640625" bestFit="1" customWidth="1"/>
  </cols>
  <sheetData>
    <row r="1" spans="1:2" ht="25" x14ac:dyDescent="0.25">
      <c r="A1" s="117" t="s">
        <v>28</v>
      </c>
      <c r="B1" s="117" t="s">
        <v>35</v>
      </c>
    </row>
    <row r="2" spans="1:2" x14ac:dyDescent="0.15">
      <c r="B2" s="116" t="s">
        <v>45</v>
      </c>
    </row>
    <row r="3" spans="1:2" x14ac:dyDescent="0.15">
      <c r="B3" s="1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Transaction Hedging (Receivable</vt:lpstr>
      <vt:lpstr>Notes And Assumptions</vt:lpstr>
      <vt:lpstr>for_GBPUSD</vt:lpstr>
      <vt:lpstr>fv_put_outlay</vt:lpstr>
      <vt:lpstr>gbpusd_1y_scenario</vt:lpstr>
      <vt:lpstr>hedge_no</vt:lpstr>
      <vt:lpstr>put_price</vt:lpstr>
      <vt:lpstr>recievable</vt:lpstr>
      <vt:lpstr>x_put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Zheng</dc:creator>
  <cp:lastModifiedBy>Victoria Zheng</cp:lastModifiedBy>
  <dcterms:created xsi:type="dcterms:W3CDTF">2026-04-15T06:32:51Z</dcterms:created>
  <dcterms:modified xsi:type="dcterms:W3CDTF">2026-04-15T06:39:29Z</dcterms:modified>
</cp:coreProperties>
</file>